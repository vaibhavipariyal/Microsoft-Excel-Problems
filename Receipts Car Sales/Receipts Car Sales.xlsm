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R:\Documentos\Facultad\3ro 2do cuatri\Informática en la empresa\3 Macros\"/>
    </mc:Choice>
  </mc:AlternateContent>
  <xr:revisionPtr revIDLastSave="0" documentId="13_ncr:1_{09D77476-736F-47DB-8423-5DEEEA51B5AD}" xr6:coauthVersionLast="45" xr6:coauthVersionMax="45" xr10:uidLastSave="{00000000-0000-0000-0000-000000000000}"/>
  <bookViews>
    <workbookView xWindow="810" yWindow="-120" windowWidth="28110" windowHeight="16440" xr2:uid="{74D068A4-D7EE-401A-A2C3-BF76D4B0D252}"/>
  </bookViews>
  <sheets>
    <sheet name="Presupuestador" sheetId="6" r:id="rId1"/>
    <sheet name="Auxiliar" sheetId="3" state="hidden" r:id="rId2"/>
    <sheet name="Presupuesto" sheetId="4" r:id="rId3"/>
    <sheet name="Historial de Presupuestos" sheetId="5" r:id="rId4"/>
  </sheets>
  <definedNames>
    <definedName name="accesorios">Auxiliar!$H$4:$H$7</definedName>
    <definedName name="año_de_fabricacion">Auxiliar!$L$4:$L$6</definedName>
    <definedName name="colores">Auxiliar!#REF!</definedName>
    <definedName name="combustible">Auxiliar!$P$4:$P$7</definedName>
    <definedName name="Numeros">#REF!</definedName>
    <definedName name="precio_base">Auxiliar!$E$4:$E$14</definedName>
    <definedName name="tipo_vehiculo">Auxiliar!$B$4:$B$14</definedName>
    <definedName name="vendedores">Auxiliar!$AB$4:$AB$8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9" i="6" l="1"/>
  <c r="A4" i="4"/>
  <c r="B6" i="4"/>
  <c r="E16" i="6" l="1" a="1"/>
  <c r="E16" i="6" s="1"/>
  <c r="E24" i="6" l="1"/>
  <c r="A14" i="4" l="1"/>
  <c r="AB2" i="3" a="1"/>
  <c r="AB2" i="3" s="1"/>
  <c r="A6" i="4" l="1"/>
  <c r="B9" i="4" a="1"/>
  <c r="B9" i="4" s="1"/>
  <c r="B11" i="4" l="1"/>
  <c r="W7" i="3" a="1"/>
  <c r="W7" i="3" s="1"/>
  <c r="E25" i="6" l="1" a="1"/>
  <c r="E25" i="6" s="1"/>
  <c r="E26" i="6" l="1" a="1"/>
  <c r="E26" i="6" s="1"/>
  <c r="E27" i="6"/>
  <c r="E29" i="6" l="1"/>
  <c r="E28" i="6"/>
  <c r="E30" i="6" l="1"/>
  <c r="B10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<sst xmlns="http://schemas.openxmlformats.org/spreadsheetml/2006/main" count="77" uniqueCount="73">
  <si>
    <t>Tipo de vehículo</t>
  </si>
  <si>
    <t>Celdas vinculadas--&gt;</t>
  </si>
  <si>
    <t>Sedan</t>
  </si>
  <si>
    <t>SUV</t>
  </si>
  <si>
    <t>Coupé</t>
  </si>
  <si>
    <t>Hatchback</t>
  </si>
  <si>
    <t>Descapotable</t>
  </si>
  <si>
    <t>Roadster</t>
  </si>
  <si>
    <t>Todoterreno</t>
  </si>
  <si>
    <t>Crossover</t>
  </si>
  <si>
    <t>Deportivo</t>
  </si>
  <si>
    <t>Pick-up</t>
  </si>
  <si>
    <t>Hardtop</t>
  </si>
  <si>
    <t>Precio base</t>
  </si>
  <si>
    <t>Accesorios</t>
  </si>
  <si>
    <t>GPS</t>
  </si>
  <si>
    <t>Bluetooth</t>
  </si>
  <si>
    <t>5G</t>
  </si>
  <si>
    <t>Llantas aleación</t>
  </si>
  <si>
    <t>Año de Fabricación</t>
  </si>
  <si>
    <t>Combustible</t>
  </si>
  <si>
    <t>Nafta</t>
  </si>
  <si>
    <t>Diesel</t>
  </si>
  <si>
    <t>GNC</t>
  </si>
  <si>
    <t>Eléctrico</t>
  </si>
  <si>
    <t>Método de Pago</t>
  </si>
  <si>
    <t>Efectivo</t>
  </si>
  <si>
    <t>Tarjeta de Crédito</t>
  </si>
  <si>
    <t>Tarjeta de Débito</t>
  </si>
  <si>
    <t>Transferencia Bancaria</t>
  </si>
  <si>
    <t>Bonificaciones</t>
  </si>
  <si>
    <t>Cliente nuevo</t>
  </si>
  <si>
    <t>Cliente habitual</t>
  </si>
  <si>
    <t>Discapacidad</t>
  </si>
  <si>
    <t>Descuento especial</t>
  </si>
  <si>
    <t>Híbrido</t>
  </si>
  <si>
    <t>Vendedor:</t>
  </si>
  <si>
    <t>Alejandra Esteban</t>
  </si>
  <si>
    <t>Ignacio Boloquy</t>
  </si>
  <si>
    <t>Jimena Sucar Grau</t>
  </si>
  <si>
    <t>Nicolás Palermo</t>
  </si>
  <si>
    <t>Mercedes Cabut</t>
  </si>
  <si>
    <t>Impuestos (IVA)</t>
  </si>
  <si>
    <t>Descuentos</t>
  </si>
  <si>
    <t>Concesionaria de automóviles IE</t>
  </si>
  <si>
    <t>HISTORIAL DE PRESUPUESTOS CONCESIONARIA IE</t>
  </si>
  <si>
    <t>FECHA</t>
  </si>
  <si>
    <t>VENDEDOR</t>
  </si>
  <si>
    <t>APELLIDO CLIENTE</t>
  </si>
  <si>
    <t>NOMBRE CLIENTE</t>
  </si>
  <si>
    <t>El presente presupuesto vence el día:</t>
  </si>
  <si>
    <t>ID</t>
  </si>
  <si>
    <t>Apellido Cliente:</t>
  </si>
  <si>
    <t>Nombre Cliente:</t>
  </si>
  <si>
    <t>Fecha:</t>
  </si>
  <si>
    <t>Tipo de vehículo:</t>
  </si>
  <si>
    <t>Precio Base:</t>
  </si>
  <si>
    <t>Tasa Concesionario (+10%):</t>
  </si>
  <si>
    <t>Bonificaciones (-):</t>
  </si>
  <si>
    <t>Impuestos (IVA):</t>
  </si>
  <si>
    <t>Precio según Método de Pago:</t>
  </si>
  <si>
    <t>Precio según Combustible:</t>
  </si>
  <si>
    <t>Precio con Accesorios</t>
  </si>
  <si>
    <t>Año de fabricación:</t>
  </si>
  <si>
    <t>Total a pagar:</t>
  </si>
  <si>
    <t xml:space="preserve">           Especifique</t>
  </si>
  <si>
    <t>Monto total a pagar:</t>
  </si>
  <si>
    <t>(dólares)</t>
  </si>
  <si>
    <t>Historial</t>
  </si>
  <si>
    <t>adjuntamos presupuesto emitido el día</t>
  </si>
  <si>
    <t>PRECIO FINAL</t>
  </si>
  <si>
    <t>VALIDEZ (HASTA)</t>
  </si>
  <si>
    <t>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</si>
</sst>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&quot;$&quot;* #,##0.00_-;\-&quot;$&quot;* #,##0.00_-;_-&quot;$&quot;* &quot;-&quot;??_-;_-@_-"/>
    <numFmt numFmtId="165" formatCode="_-&quot;$&quot;* #,##0_-;\-&quot;$&quot;* #,##0_-;_-&quot;$&quot;* &quot;-&quot;??_-;_-@_-"/>
    <numFmt numFmtId="166" formatCode="[$-F800]dddd\,\ mmmm\ dd\,\ yyyy"/>
    <numFmt numFmtId="167" formatCode="dd\ \-\ mmmm\ \-\ yyyy"/>
    <numFmt numFmtId="168" formatCode="0.0%"/>
    <numFmt numFmtId="169" formatCode="_-[$$-409]* #,##0.00_ ;_-[$$-409]* \-#,##0.00\ ;_-[$$-409]* &quot;-&quot;??_ ;_-@_ 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36"/>
      <color theme="1"/>
      <name val="Bahnschrift Condensed"/>
      <family val="2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1"/>
      <name val="Bahnschrift Condensed"/>
      <family val="2"/>
    </font>
    <font>
      <sz val="11"/>
      <color theme="1"/>
      <name val="Arial Nova Cond"/>
      <family val="2"/>
    </font>
    <font>
      <sz val="18"/>
      <color theme="1"/>
      <name val="Arial Nova Cond"/>
      <family val="2"/>
    </font>
    <font>
      <sz val="16"/>
      <color theme="1"/>
      <name val="Arial Nova Cond"/>
      <family val="2"/>
    </font>
    <font>
      <sz val="12"/>
      <color theme="1"/>
      <name val="Arial Nova Cond"/>
      <family val="2"/>
    </font>
    <font>
      <sz val="14"/>
      <color theme="1"/>
      <name val="Arial Nova Cond"/>
      <family val="2"/>
    </font>
    <font>
      <sz val="20"/>
      <color theme="1"/>
      <name val="Arial Nova Cond"/>
      <family val="2"/>
    </font>
    <font>
      <sz val="8"/>
      <color rgb="FF000000"/>
      <name val="Segoe UI"/>
      <family val="2"/>
    </font>
    <font>
      <b/>
      <sz val="16"/>
      <color theme="1"/>
      <name val="Arial Nova Cond"/>
      <family val="2"/>
    </font>
    <font>
      <b/>
      <sz val="36"/>
      <color theme="1"/>
      <name val="Arial Nova Cond"/>
      <family val="2"/>
    </font>
    <font>
      <sz val="10"/>
      <color theme="1"/>
      <name val="Arial Nova Cond"/>
      <family val="2"/>
    </font>
    <font>
      <sz val="11"/>
      <color rgb="FF000000"/>
      <name val="Calibri"/>
      <family val="2"/>
    </font>
    <font>
      <sz val="12"/>
      <color theme="1"/>
      <name val="Bahnschrift Condensed"/>
      <family val="2"/>
    </font>
    <font>
      <sz val="36"/>
      <color theme="1"/>
      <name val="Calibri"/>
      <family val="2"/>
    </font>
    <font>
      <sz val="14"/>
      <color theme="1"/>
      <name val="Calibri"/>
      <family val="2"/>
    </font>
    <font>
      <sz val="14"/>
      <color rgb="FF002060"/>
      <name val="Calibri"/>
      <family val="2"/>
    </font>
    <font>
      <b/>
      <sz val="16"/>
      <name val="Arial Nova Cond"/>
      <family val="2"/>
    </font>
  </fonts>
  <fills count="2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6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0" borderId="0" xfId="0" applyAlignment="1">
      <alignment horizontal="center"/>
    </xf>
    <xf numFmtId="0" fontId="3" fillId="0" borderId="0" xfId="0" applyFont="1"/>
    <xf numFmtId="0" fontId="0" fillId="0" borderId="0" xfId="0" applyFill="1"/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0" fillId="8" borderId="0" xfId="0" applyFill="1"/>
    <xf numFmtId="0" fontId="2" fillId="8" borderId="1" xfId="0" applyFont="1" applyFill="1" applyBorder="1" applyAlignment="1">
      <alignment horizontal="center"/>
    </xf>
    <xf numFmtId="165" fontId="0" fillId="8" borderId="1" xfId="1" applyNumberFormat="1" applyFont="1" applyFill="1" applyBorder="1" applyAlignment="1">
      <alignment horizontal="center"/>
    </xf>
    <xf numFmtId="165" fontId="0" fillId="8" borderId="0" xfId="1" applyNumberFormat="1" applyFont="1" applyFill="1" applyBorder="1" applyAlignment="1">
      <alignment horizontal="center"/>
    </xf>
    <xf numFmtId="0" fontId="2" fillId="8" borderId="0" xfId="0" applyFont="1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0" borderId="1" xfId="0" applyFill="1" applyBorder="1"/>
    <xf numFmtId="0" fontId="0" fillId="5" borderId="1" xfId="0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8" borderId="0" xfId="0" applyFont="1" applyFill="1" applyAlignment="1">
      <alignment horizontal="center"/>
    </xf>
    <xf numFmtId="0" fontId="0" fillId="7" borderId="1" xfId="0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0" fillId="7" borderId="0" xfId="0" applyFill="1"/>
    <xf numFmtId="0" fontId="0" fillId="9" borderId="1" xfId="0" applyFill="1" applyBorder="1"/>
    <xf numFmtId="0" fontId="2" fillId="9" borderId="1" xfId="0" applyFont="1" applyFill="1" applyBorder="1" applyAlignment="1">
      <alignment horizontal="center"/>
    </xf>
    <xf numFmtId="0" fontId="0" fillId="9" borderId="0" xfId="0" applyFill="1"/>
    <xf numFmtId="9" fontId="0" fillId="0" borderId="1" xfId="0" applyNumberFormat="1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2" fillId="10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2" borderId="1" xfId="0" applyFont="1" applyFill="1" applyBorder="1" applyAlignment="1">
      <alignment horizontal="center"/>
    </xf>
    <xf numFmtId="0" fontId="5" fillId="8" borderId="0" xfId="0" applyFont="1" applyFill="1" applyBorder="1"/>
    <xf numFmtId="0" fontId="0" fillId="8" borderId="0" xfId="0" applyFill="1" applyBorder="1"/>
    <xf numFmtId="0" fontId="0" fillId="0" borderId="1" xfId="0" applyBorder="1"/>
    <xf numFmtId="0" fontId="2" fillId="11" borderId="1" xfId="0" applyFont="1" applyFill="1" applyBorder="1" applyAlignment="1">
      <alignment horizontal="center"/>
    </xf>
    <xf numFmtId="0" fontId="2" fillId="12" borderId="1" xfId="0" applyFont="1" applyFill="1" applyBorder="1" applyAlignment="1">
      <alignment horizontal="center"/>
    </xf>
    <xf numFmtId="0" fontId="7" fillId="0" borderId="0" xfId="0" applyFont="1" applyFill="1"/>
    <xf numFmtId="166" fontId="7" fillId="0" borderId="0" xfId="0" applyNumberFormat="1" applyFont="1"/>
    <xf numFmtId="0" fontId="7" fillId="0" borderId="0" xfId="0" applyFont="1"/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9" fontId="0" fillId="0" borderId="1" xfId="2" applyFont="1" applyFill="1" applyBorder="1" applyAlignment="1">
      <alignment horizontal="center"/>
    </xf>
    <xf numFmtId="168" fontId="0" fillId="0" borderId="1" xfId="2" applyNumberFormat="1" applyFont="1" applyFill="1" applyBorder="1" applyAlignment="1">
      <alignment horizontal="center"/>
    </xf>
    <xf numFmtId="9" fontId="0" fillId="0" borderId="1" xfId="2" applyFont="1" applyFill="1" applyBorder="1"/>
    <xf numFmtId="169" fontId="0" fillId="0" borderId="1" xfId="2" applyNumberFormat="1" applyFont="1" applyFill="1" applyBorder="1" applyAlignment="1">
      <alignment horizontal="center"/>
    </xf>
    <xf numFmtId="14" fontId="0" fillId="0" borderId="0" xfId="0" applyNumberFormat="1"/>
    <xf numFmtId="0" fontId="0" fillId="0" borderId="0" xfId="0" applyAlignment="1">
      <alignment horizontal="left"/>
    </xf>
    <xf numFmtId="0" fontId="19" fillId="0" borderId="0" xfId="0" applyFont="1" applyAlignment="1">
      <alignment horizontal="left"/>
    </xf>
    <xf numFmtId="0" fontId="2" fillId="13" borderId="1" xfId="0" applyFont="1" applyFill="1" applyBorder="1" applyAlignment="1">
      <alignment horizontal="center"/>
    </xf>
    <xf numFmtId="0" fontId="2" fillId="12" borderId="0" xfId="0" applyFont="1" applyFill="1" applyBorder="1" applyAlignment="1">
      <alignment horizontal="center"/>
    </xf>
    <xf numFmtId="0" fontId="0" fillId="12" borderId="0" xfId="0" applyFill="1" applyBorder="1"/>
    <xf numFmtId="0" fontId="0" fillId="12" borderId="1" xfId="0" applyFill="1" applyBorder="1" applyAlignment="1">
      <alignment horizontal="center"/>
    </xf>
    <xf numFmtId="0" fontId="2" fillId="14" borderId="1" xfId="0" applyFont="1" applyFill="1" applyBorder="1" applyAlignment="1">
      <alignment horizontal="center"/>
    </xf>
    <xf numFmtId="0" fontId="2" fillId="11" borderId="0" xfId="0" applyFont="1" applyFill="1" applyBorder="1" applyAlignment="1">
      <alignment horizontal="center"/>
    </xf>
    <xf numFmtId="0" fontId="0" fillId="13" borderId="0" xfId="0" applyFill="1" applyBorder="1"/>
    <xf numFmtId="0" fontId="0" fillId="14" borderId="0" xfId="0" applyFill="1" applyBorder="1"/>
    <xf numFmtId="0" fontId="0" fillId="8" borderId="1" xfId="0" applyFill="1" applyBorder="1"/>
    <xf numFmtId="169" fontId="0" fillId="3" borderId="0" xfId="0" applyNumberFormat="1" applyFill="1"/>
    <xf numFmtId="169" fontId="0" fillId="0" borderId="0" xfId="0" applyNumberFormat="1"/>
    <xf numFmtId="169" fontId="2" fillId="3" borderId="1" xfId="0" applyNumberFormat="1" applyFont="1" applyFill="1" applyBorder="1" applyAlignment="1">
      <alignment horizontal="center"/>
    </xf>
    <xf numFmtId="169" fontId="0" fillId="0" borderId="1" xfId="2" applyNumberFormat="1" applyFont="1" applyBorder="1" applyAlignment="1">
      <alignment horizontal="center" vertical="center"/>
    </xf>
    <xf numFmtId="169" fontId="0" fillId="4" borderId="0" xfId="0" applyNumberFormat="1" applyFill="1"/>
    <xf numFmtId="169" fontId="0" fillId="0" borderId="0" xfId="0" applyNumberFormat="1" applyFill="1"/>
    <xf numFmtId="169" fontId="0" fillId="4" borderId="1" xfId="0" applyNumberFormat="1" applyFill="1" applyBorder="1" applyAlignment="1">
      <alignment horizontal="center"/>
    </xf>
    <xf numFmtId="169" fontId="0" fillId="0" borderId="1" xfId="1" applyNumberFormat="1" applyFont="1" applyFill="1" applyBorder="1" applyAlignment="1">
      <alignment horizontal="center"/>
    </xf>
    <xf numFmtId="169" fontId="0" fillId="0" borderId="0" xfId="0" applyNumberFormat="1" applyFill="1" applyAlignment="1">
      <alignment horizontal="center"/>
    </xf>
    <xf numFmtId="0" fontId="8" fillId="15" borderId="0" xfId="0" applyFont="1" applyFill="1" applyBorder="1" applyAlignment="1">
      <alignment horizontal="center" vertical="center"/>
    </xf>
    <xf numFmtId="0" fontId="8" fillId="15" borderId="6" xfId="0" applyFont="1" applyFill="1" applyBorder="1" applyAlignment="1">
      <alignment horizontal="center" vertical="center"/>
    </xf>
    <xf numFmtId="0" fontId="0" fillId="15" borderId="5" xfId="0" applyFill="1" applyBorder="1" applyAlignment="1">
      <alignment horizontal="center" vertical="center"/>
    </xf>
    <xf numFmtId="0" fontId="8" fillId="15" borderId="8" xfId="0" applyFont="1" applyFill="1" applyBorder="1" applyAlignment="1">
      <alignment horizontal="center" vertical="center"/>
    </xf>
    <xf numFmtId="0" fontId="8" fillId="15" borderId="9" xfId="0" applyFont="1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5" borderId="7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0" fontId="0" fillId="16" borderId="3" xfId="0" applyFill="1" applyBorder="1" applyAlignment="1">
      <alignment horizontal="center" vertical="center"/>
    </xf>
    <xf numFmtId="0" fontId="0" fillId="16" borderId="4" xfId="0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8" fillId="16" borderId="0" xfId="0" applyFont="1" applyFill="1" applyBorder="1" applyAlignment="1">
      <alignment horizontal="center" vertical="center"/>
    </xf>
    <xf numFmtId="0" fontId="8" fillId="16" borderId="6" xfId="0" applyFont="1" applyFill="1" applyBorder="1" applyAlignment="1">
      <alignment horizontal="center" vertical="center"/>
    </xf>
    <xf numFmtId="0" fontId="8" fillId="16" borderId="7" xfId="0" applyFont="1" applyFill="1" applyBorder="1" applyAlignment="1">
      <alignment horizontal="center" vertical="center"/>
    </xf>
    <xf numFmtId="0" fontId="8" fillId="16" borderId="8" xfId="0" applyFont="1" applyFill="1" applyBorder="1" applyAlignment="1">
      <alignment horizontal="center" vertical="center"/>
    </xf>
    <xf numFmtId="0" fontId="8" fillId="16" borderId="9" xfId="0" applyFont="1" applyFill="1" applyBorder="1" applyAlignment="1">
      <alignment horizontal="center" vertical="center"/>
    </xf>
    <xf numFmtId="0" fontId="16" fillId="16" borderId="2" xfId="0" applyFont="1" applyFill="1" applyBorder="1" applyAlignment="1">
      <alignment horizontal="center" vertical="center"/>
    </xf>
    <xf numFmtId="0" fontId="16" fillId="16" borderId="3" xfId="0" applyFont="1" applyFill="1" applyBorder="1" applyAlignment="1">
      <alignment horizontal="center" vertical="center"/>
    </xf>
    <xf numFmtId="0" fontId="16" fillId="16" borderId="5" xfId="0" applyFont="1" applyFill="1" applyBorder="1" applyAlignment="1">
      <alignment horizontal="center" vertical="center"/>
    </xf>
    <xf numFmtId="0" fontId="16" fillId="16" borderId="0" xfId="0" applyFont="1" applyFill="1" applyBorder="1" applyAlignment="1">
      <alignment horizontal="center" vertical="center"/>
    </xf>
    <xf numFmtId="0" fontId="16" fillId="16" borderId="7" xfId="0" applyFont="1" applyFill="1" applyBorder="1" applyAlignment="1">
      <alignment horizontal="center" vertical="center"/>
    </xf>
    <xf numFmtId="0" fontId="16" fillId="16" borderId="8" xfId="0" applyFont="1" applyFill="1" applyBorder="1" applyAlignment="1">
      <alignment horizontal="center" vertical="center"/>
    </xf>
    <xf numFmtId="0" fontId="11" fillId="15" borderId="0" xfId="0" applyFont="1" applyFill="1" applyBorder="1" applyAlignment="1">
      <alignment horizontal="left" vertical="center"/>
    </xf>
    <xf numFmtId="0" fontId="9" fillId="15" borderId="0" xfId="0" applyFont="1" applyFill="1" applyBorder="1" applyAlignment="1">
      <alignment horizontal="center" vertical="center"/>
    </xf>
    <xf numFmtId="0" fontId="10" fillId="15" borderId="0" xfId="0" applyFont="1" applyFill="1" applyBorder="1" applyAlignment="1">
      <alignment horizontal="center" vertical="center"/>
    </xf>
    <xf numFmtId="0" fontId="13" fillId="15" borderId="0" xfId="0" applyFont="1" applyFill="1" applyBorder="1" applyAlignment="1">
      <alignment horizontal="left" vertical="center"/>
    </xf>
    <xf numFmtId="169" fontId="8" fillId="15" borderId="0" xfId="0" applyNumberFormat="1" applyFont="1" applyFill="1" applyBorder="1" applyAlignment="1">
      <alignment horizontal="center" vertical="center"/>
    </xf>
    <xf numFmtId="0" fontId="17" fillId="15" borderId="0" xfId="0" applyFont="1" applyFill="1" applyBorder="1" applyAlignment="1">
      <alignment horizontal="left" vertical="center"/>
    </xf>
    <xf numFmtId="0" fontId="9" fillId="15" borderId="0" xfId="0" applyFont="1" applyFill="1" applyBorder="1" applyAlignment="1">
      <alignment horizontal="center"/>
    </xf>
    <xf numFmtId="167" fontId="10" fillId="15" borderId="0" xfId="0" applyNumberFormat="1" applyFont="1" applyFill="1" applyBorder="1" applyAlignment="1">
      <alignment horizontal="center" vertical="top"/>
    </xf>
    <xf numFmtId="0" fontId="15" fillId="15" borderId="0" xfId="0" applyFont="1" applyFill="1" applyBorder="1" applyAlignment="1">
      <alignment horizontal="left" vertical="center"/>
    </xf>
    <xf numFmtId="169" fontId="23" fillId="13" borderId="0" xfId="0" applyNumberFormat="1" applyFont="1" applyFill="1" applyBorder="1" applyAlignment="1">
      <alignment horizontal="center" vertical="center"/>
    </xf>
    <xf numFmtId="0" fontId="8" fillId="15" borderId="0" xfId="0" applyFont="1" applyFill="1" applyBorder="1" applyAlignment="1">
      <alignment horizontal="left" vertical="center"/>
    </xf>
    <xf numFmtId="169" fontId="12" fillId="13" borderId="0" xfId="0" applyNumberFormat="1" applyFont="1" applyFill="1" applyBorder="1" applyAlignment="1">
      <alignment horizontal="right" vertical="center"/>
    </xf>
    <xf numFmtId="0" fontId="12" fillId="15" borderId="0" xfId="0" applyFont="1" applyFill="1" applyBorder="1" applyAlignment="1">
      <alignment horizontal="left" vertical="center"/>
    </xf>
    <xf numFmtId="0" fontId="21" fillId="17" borderId="5" xfId="0" applyFont="1" applyFill="1" applyBorder="1" applyAlignment="1">
      <alignment horizontal="left" vertical="center"/>
    </xf>
    <xf numFmtId="0" fontId="21" fillId="17" borderId="0" xfId="0" applyFont="1" applyFill="1" applyBorder="1" applyAlignment="1">
      <alignment horizontal="left" vertical="center"/>
    </xf>
    <xf numFmtId="0" fontId="21" fillId="17" borderId="6" xfId="0" applyFont="1" applyFill="1" applyBorder="1" applyAlignment="1">
      <alignment horizontal="left" vertical="center"/>
    </xf>
    <xf numFmtId="0" fontId="21" fillId="17" borderId="0" xfId="0" applyFont="1" applyFill="1" applyBorder="1" applyAlignment="1">
      <alignment horizontal="left" vertical="center"/>
    </xf>
    <xf numFmtId="0" fontId="21" fillId="17" borderId="6" xfId="0" applyFont="1" applyFill="1" applyBorder="1" applyAlignment="1">
      <alignment horizontal="left" vertical="center"/>
    </xf>
    <xf numFmtId="166" fontId="21" fillId="17" borderId="5" xfId="0" applyNumberFormat="1" applyFont="1" applyFill="1" applyBorder="1" applyAlignment="1">
      <alignment horizontal="left" vertical="center"/>
    </xf>
    <xf numFmtId="14" fontId="21" fillId="17" borderId="0" xfId="0" applyNumberFormat="1" applyFont="1" applyFill="1" applyBorder="1" applyAlignment="1">
      <alignment horizontal="left" vertical="center"/>
    </xf>
    <xf numFmtId="14" fontId="21" fillId="17" borderId="6" xfId="0" applyNumberFormat="1" applyFont="1" applyFill="1" applyBorder="1" applyAlignment="1">
      <alignment horizontal="left" vertical="center"/>
    </xf>
    <xf numFmtId="169" fontId="21" fillId="17" borderId="0" xfId="0" applyNumberFormat="1" applyFont="1" applyFill="1" applyBorder="1" applyAlignment="1">
      <alignment horizontal="left" vertical="center"/>
    </xf>
    <xf numFmtId="0" fontId="21" fillId="17" borderId="5" xfId="0" applyFont="1" applyFill="1" applyBorder="1" applyAlignment="1">
      <alignment vertical="center"/>
    </xf>
    <xf numFmtId="166" fontId="21" fillId="17" borderId="0" xfId="0" applyNumberFormat="1" applyFont="1" applyFill="1" applyBorder="1" applyAlignment="1">
      <alignment horizontal="left" vertical="center"/>
    </xf>
    <xf numFmtId="166" fontId="21" fillId="17" borderId="6" xfId="0" applyNumberFormat="1" applyFont="1" applyFill="1" applyBorder="1" applyAlignment="1">
      <alignment horizontal="left" vertical="center"/>
    </xf>
    <xf numFmtId="0" fontId="21" fillId="17" borderId="5" xfId="0" applyFont="1" applyFill="1" applyBorder="1" applyAlignment="1">
      <alignment horizontal="left" vertical="center"/>
    </xf>
    <xf numFmtId="0" fontId="21" fillId="17" borderId="7" xfId="0" applyFont="1" applyFill="1" applyBorder="1" applyAlignment="1">
      <alignment horizontal="left" vertical="center"/>
    </xf>
    <xf numFmtId="0" fontId="21" fillId="17" borderId="8" xfId="0" applyFont="1" applyFill="1" applyBorder="1" applyAlignment="1">
      <alignment horizontal="left" vertical="center"/>
    </xf>
    <xf numFmtId="0" fontId="22" fillId="17" borderId="9" xfId="0" applyFont="1" applyFill="1" applyBorder="1" applyAlignment="1">
      <alignment horizontal="left" vertical="center"/>
    </xf>
    <xf numFmtId="0" fontId="20" fillId="18" borderId="2" xfId="0" applyFont="1" applyFill="1" applyBorder="1" applyAlignment="1">
      <alignment horizontal="center" vertical="center" wrapText="1"/>
    </xf>
    <xf numFmtId="0" fontId="20" fillId="18" borderId="3" xfId="0" applyFont="1" applyFill="1" applyBorder="1" applyAlignment="1">
      <alignment horizontal="center" vertical="center" wrapText="1"/>
    </xf>
    <xf numFmtId="0" fontId="20" fillId="18" borderId="4" xfId="0" applyFont="1" applyFill="1" applyBorder="1" applyAlignment="1">
      <alignment vertical="center" wrapText="1"/>
    </xf>
    <xf numFmtId="0" fontId="0" fillId="19" borderId="1" xfId="0" applyFill="1" applyBorder="1" applyAlignment="1">
      <alignment horizontal="center"/>
    </xf>
    <xf numFmtId="169" fontId="0" fillId="19" borderId="1" xfId="0" applyNumberFormat="1" applyFill="1" applyBorder="1" applyAlignment="1">
      <alignment horizontal="center"/>
    </xf>
    <xf numFmtId="14" fontId="0" fillId="19" borderId="1" xfId="0" applyNumberFormat="1" applyFill="1" applyBorder="1"/>
    <xf numFmtId="0" fontId="0" fillId="0" borderId="0" xfId="0" applyFill="1" applyBorder="1"/>
    <xf numFmtId="14" fontId="0" fillId="0" borderId="0" xfId="0" applyNumberFormat="1" applyFill="1" applyBorder="1"/>
    <xf numFmtId="169" fontId="0" fillId="0" borderId="0" xfId="0" applyNumberFormat="1" applyFill="1" applyBorder="1"/>
    <xf numFmtId="0" fontId="4" fillId="6" borderId="10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4" fillId="6" borderId="12" xfId="0" applyFont="1" applyFill="1" applyBorder="1" applyAlignment="1">
      <alignment horizontal="center" vertical="center"/>
    </xf>
  </cellXfs>
  <cellStyles count="3"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Radio" checked="Checked" firstButton="1" fmlaLink="Auxiliar!$P$2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Drop" dropStyle="combo" dx="22" fmlaLink="Auxiliar!$AA$2" fmlaRange="Auxiliar!$AB$4:$AB$8" noThreeD="1" sel="1" val="0"/>
</file>

<file path=xl/ctrlProps/ctrlProp7.xml><?xml version="1.0" encoding="utf-8"?>
<formControlPr xmlns="http://schemas.microsoft.com/office/spreadsheetml/2009/9/main" objectType="Drop" dropStyle="combo" dx="22" fmlaLink="Auxiliar!$B$2" fmlaRange="Auxiliar!$B$4:$B$14" noThreeD="1" sel="1" val="0"/>
</file>

<file path=xl/ctrlProps/ctrlProp8.xml><?xml version="1.0" encoding="utf-8"?>
<formControlPr xmlns="http://schemas.microsoft.com/office/spreadsheetml/2009/9/main" objectType="Drop" dropStyle="combo" dx="22" fmlaLink="Auxiliar!$L$2" fmlaRange="Auxiliar!$L$4:$L$6" noThreeD="1" sel="1" val="0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CheckBox" fmlaLink="Auxiliar!$I$4" lockText="1" noThreeD="1"/>
</file>

<file path=xl/ctrlProps/ctrlProp13.xml><?xml version="1.0" encoding="utf-8"?>
<formControlPr xmlns="http://schemas.microsoft.com/office/spreadsheetml/2009/9/main" objectType="CheckBox" fmlaLink="Auxiliar!$I$5" lockText="1" noThreeD="1"/>
</file>

<file path=xl/ctrlProps/ctrlProp14.xml><?xml version="1.0" encoding="utf-8"?>
<formControlPr xmlns="http://schemas.microsoft.com/office/spreadsheetml/2009/9/main" objectType="CheckBox" fmlaLink="Auxiliar!$Y$4" lockText="1" noThreeD="1"/>
</file>

<file path=xl/ctrlProps/ctrlProp15.xml><?xml version="1.0" encoding="utf-8"?>
<formControlPr xmlns="http://schemas.microsoft.com/office/spreadsheetml/2009/9/main" objectType="CheckBox" fmlaLink="Auxiliar!$Y$5" lockText="1" noThreeD="1"/>
</file>

<file path=xl/ctrlProps/ctrlProp16.xml><?xml version="1.0" encoding="utf-8"?>
<formControlPr xmlns="http://schemas.microsoft.com/office/spreadsheetml/2009/9/main" objectType="CheckBox" fmlaLink="Auxiliar!$Y$6" lockText="1" noThreeD="1"/>
</file>

<file path=xl/ctrlProps/ctrlProp17.xml><?xml version="1.0" encoding="utf-8"?>
<formControlPr xmlns="http://schemas.microsoft.com/office/spreadsheetml/2009/9/main" objectType="CheckBox" fmlaLink="Auxiliar!$Y$7" lockText="1" noThreeD="1"/>
</file>

<file path=xl/ctrlProps/ctrlProp18.xml><?xml version="1.0" encoding="utf-8"?>
<formControlPr xmlns="http://schemas.microsoft.com/office/spreadsheetml/2009/9/main" objectType="GBox" noThreeD="1"/>
</file>

<file path=xl/ctrlProps/ctrlProp19.xml><?xml version="1.0" encoding="utf-8"?>
<formControlPr xmlns="http://schemas.microsoft.com/office/spreadsheetml/2009/9/main" objectType="CheckBox" fmlaLink="Auxiliar!$I$6" lockText="1" noThreeD="1"/>
</file>

<file path=xl/ctrlProps/ctrlProp20.xml><?xml version="1.0" encoding="utf-8"?>
<formControlPr xmlns="http://schemas.microsoft.com/office/spreadsheetml/2009/9/main" objectType="CheckBox" fmlaLink="Auxiliar!$I$7" lockText="1" noThreeD="1"/>
</file>

<file path=xl/ctrlProps/ctrlProp21.xml><?xml version="1.0" encoding="utf-8"?>
<formControlPr xmlns="http://schemas.microsoft.com/office/spreadsheetml/2009/9/main" objectType="Radio" checked="Checked" firstButton="1" fmlaLink="Auxiliar!$T$2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Drop" dropStyle="combo" dx="22" fmlaLink="Auxiliar!$X$10" fmlaRange="Auxiliar!$X$12:$X$21" noThreeD="1" sel="9" val="2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352425</xdr:colOff>
          <xdr:row>18</xdr:row>
          <xdr:rowOff>66675</xdr:rowOff>
        </xdr:from>
        <xdr:to>
          <xdr:col>12</xdr:col>
          <xdr:colOff>476250</xdr:colOff>
          <xdr:row>21</xdr:row>
          <xdr:rowOff>57150</xdr:rowOff>
        </xdr:to>
        <xdr:sp macro="" textlink="">
          <xdr:nvSpPr>
            <xdr:cNvPr id="1093" name="Option 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419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Nafta  (+5%)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352425</xdr:colOff>
          <xdr:row>21</xdr:row>
          <xdr:rowOff>66675</xdr:rowOff>
        </xdr:from>
        <xdr:to>
          <xdr:col>12</xdr:col>
          <xdr:colOff>476250</xdr:colOff>
          <xdr:row>24</xdr:row>
          <xdr:rowOff>47625</xdr:rowOff>
        </xdr:to>
        <xdr:sp macro="" textlink="">
          <xdr:nvSpPr>
            <xdr:cNvPr id="1092" name="Option 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419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Diesel  (+10%)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371475</xdr:colOff>
          <xdr:row>24</xdr:row>
          <xdr:rowOff>85725</xdr:rowOff>
        </xdr:from>
        <xdr:to>
          <xdr:col>12</xdr:col>
          <xdr:colOff>495300</xdr:colOff>
          <xdr:row>27</xdr:row>
          <xdr:rowOff>47625</xdr:rowOff>
        </xdr:to>
        <xdr:sp macro="" textlink="">
          <xdr:nvSpPr>
            <xdr:cNvPr id="1091" name="Option 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419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GNC  (-5%)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19</xdr:row>
          <xdr:rowOff>161925</xdr:rowOff>
        </xdr:from>
        <xdr:to>
          <xdr:col>13</xdr:col>
          <xdr:colOff>628650</xdr:colOff>
          <xdr:row>22</xdr:row>
          <xdr:rowOff>152400</xdr:rowOff>
        </xdr:to>
        <xdr:sp macro="" textlink="">
          <xdr:nvSpPr>
            <xdr:cNvPr id="1089" name="Option 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419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Híbrido  (-7,5%)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495300</xdr:colOff>
          <xdr:row>23</xdr:row>
          <xdr:rowOff>9525</xdr:rowOff>
        </xdr:from>
        <xdr:to>
          <xdr:col>13</xdr:col>
          <xdr:colOff>619125</xdr:colOff>
          <xdr:row>25</xdr:row>
          <xdr:rowOff>171450</xdr:rowOff>
        </xdr:to>
        <xdr:sp macro="" textlink="">
          <xdr:nvSpPr>
            <xdr:cNvPr id="1088" name="Option 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419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Eléctrico  (-10%)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5</xdr:row>
          <xdr:rowOff>57150</xdr:rowOff>
        </xdr:from>
        <xdr:to>
          <xdr:col>7</xdr:col>
          <xdr:colOff>752475</xdr:colOff>
          <xdr:row>7</xdr:row>
          <xdr:rowOff>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11</xdr:row>
          <xdr:rowOff>57150</xdr:rowOff>
        </xdr:from>
        <xdr:to>
          <xdr:col>7</xdr:col>
          <xdr:colOff>704850</xdr:colOff>
          <xdr:row>12</xdr:row>
          <xdr:rowOff>133350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13</xdr:row>
          <xdr:rowOff>57150</xdr:rowOff>
        </xdr:from>
        <xdr:to>
          <xdr:col>7</xdr:col>
          <xdr:colOff>704850</xdr:colOff>
          <xdr:row>14</xdr:row>
          <xdr:rowOff>142875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17</xdr:row>
          <xdr:rowOff>104775</xdr:rowOff>
        </xdr:from>
        <xdr:to>
          <xdr:col>7</xdr:col>
          <xdr:colOff>590550</xdr:colOff>
          <xdr:row>22</xdr:row>
          <xdr:rowOff>104775</xdr:rowOff>
        </xdr:to>
        <xdr:sp macro="" textlink="">
          <xdr:nvSpPr>
            <xdr:cNvPr id="1030" name="Group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419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Método de pago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190500</xdr:colOff>
          <xdr:row>11</xdr:row>
          <xdr:rowOff>161925</xdr:rowOff>
        </xdr:from>
        <xdr:to>
          <xdr:col>14</xdr:col>
          <xdr:colOff>38100</xdr:colOff>
          <xdr:row>16</xdr:row>
          <xdr:rowOff>142875</xdr:rowOff>
        </xdr:to>
        <xdr:sp macro="" textlink="">
          <xdr:nvSpPr>
            <xdr:cNvPr id="1031" name="Group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419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Accesorios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190500</xdr:colOff>
          <xdr:row>17</xdr:row>
          <xdr:rowOff>133350</xdr:rowOff>
        </xdr:from>
        <xdr:to>
          <xdr:col>11</xdr:col>
          <xdr:colOff>47625</xdr:colOff>
          <xdr:row>27</xdr:row>
          <xdr:rowOff>152400</xdr:rowOff>
        </xdr:to>
        <xdr:sp macro="" textlink="">
          <xdr:nvSpPr>
            <xdr:cNvPr id="1033" name="Group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419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Bonificaciones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12</xdr:row>
          <xdr:rowOff>133350</xdr:rowOff>
        </xdr:from>
        <xdr:to>
          <xdr:col>11</xdr:col>
          <xdr:colOff>0</xdr:colOff>
          <xdr:row>14</xdr:row>
          <xdr:rowOff>28575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419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133350</xdr:rowOff>
        </xdr:from>
        <xdr:to>
          <xdr:col>11</xdr:col>
          <xdr:colOff>0</xdr:colOff>
          <xdr:row>16</xdr:row>
          <xdr:rowOff>28575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419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Bluetooth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18</xdr:row>
          <xdr:rowOff>95250</xdr:rowOff>
        </xdr:from>
        <xdr:to>
          <xdr:col>11</xdr:col>
          <xdr:colOff>0</xdr:colOff>
          <xdr:row>19</xdr:row>
          <xdr:rowOff>161925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419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Cliente nuevo  (-3%)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19</xdr:row>
          <xdr:rowOff>190500</xdr:rowOff>
        </xdr:from>
        <xdr:to>
          <xdr:col>11</xdr:col>
          <xdr:colOff>0</xdr:colOff>
          <xdr:row>21</xdr:row>
          <xdr:rowOff>66675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419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Cliente habitual  (-5%)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21</xdr:row>
          <xdr:rowOff>95250</xdr:rowOff>
        </xdr:from>
        <xdr:to>
          <xdr:col>11</xdr:col>
          <xdr:colOff>0</xdr:colOff>
          <xdr:row>22</xdr:row>
          <xdr:rowOff>161925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419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Discapacidad  (-20%)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22</xdr:row>
          <xdr:rowOff>180975</xdr:rowOff>
        </xdr:from>
        <xdr:to>
          <xdr:col>11</xdr:col>
          <xdr:colOff>0</xdr:colOff>
          <xdr:row>24</xdr:row>
          <xdr:rowOff>47625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419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Descuento especial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17</xdr:row>
          <xdr:rowOff>133350</xdr:rowOff>
        </xdr:from>
        <xdr:to>
          <xdr:col>14</xdr:col>
          <xdr:colOff>47625</xdr:colOff>
          <xdr:row>27</xdr:row>
          <xdr:rowOff>152400</xdr:rowOff>
        </xdr:to>
        <xdr:sp macro="" textlink="">
          <xdr:nvSpPr>
            <xdr:cNvPr id="1052" name="Group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419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Combustible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12</xdr:row>
          <xdr:rowOff>133350</xdr:rowOff>
        </xdr:from>
        <xdr:to>
          <xdr:col>14</xdr:col>
          <xdr:colOff>0</xdr:colOff>
          <xdr:row>14</xdr:row>
          <xdr:rowOff>28575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419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14</xdr:row>
          <xdr:rowOff>133350</xdr:rowOff>
        </xdr:from>
        <xdr:to>
          <xdr:col>14</xdr:col>
          <xdr:colOff>0</xdr:colOff>
          <xdr:row>16</xdr:row>
          <xdr:rowOff>28575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419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Llantas de aleación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695325</xdr:colOff>
          <xdr:row>18</xdr:row>
          <xdr:rowOff>57150</xdr:rowOff>
        </xdr:from>
        <xdr:to>
          <xdr:col>3</xdr:col>
          <xdr:colOff>723900</xdr:colOff>
          <xdr:row>19</xdr:row>
          <xdr:rowOff>152400</xdr:rowOff>
        </xdr:to>
        <xdr:sp macro="" textlink="">
          <xdr:nvSpPr>
            <xdr:cNvPr id="1061" name="Option 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419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Efectivo  (-5%)</a:t>
              </a:r>
            </a:p>
          </xdr:txBody>
        </xdr:sp>
        <xdr:clientData/>
      </xdr:twoCellAnchor>
    </mc:Choice>
    <mc:Fallback/>
  </mc:AlternateContent>
  <xdr:twoCellAnchor editAs="oneCell">
    <xdr:from>
      <xdr:col>11</xdr:col>
      <xdr:colOff>0</xdr:colOff>
      <xdr:row>0</xdr:row>
      <xdr:rowOff>56030</xdr:rowOff>
    </xdr:from>
    <xdr:to>
      <xdr:col>15</xdr:col>
      <xdr:colOff>20689</xdr:colOff>
      <xdr:row>10</xdr:row>
      <xdr:rowOff>78442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33765" y="56030"/>
          <a:ext cx="2620453" cy="192741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695325</xdr:colOff>
          <xdr:row>20</xdr:row>
          <xdr:rowOff>57150</xdr:rowOff>
        </xdr:from>
        <xdr:to>
          <xdr:col>3</xdr:col>
          <xdr:colOff>723900</xdr:colOff>
          <xdr:row>21</xdr:row>
          <xdr:rowOff>152400</xdr:rowOff>
        </xdr:to>
        <xdr:sp macro="" textlink="">
          <xdr:nvSpPr>
            <xdr:cNvPr id="1079" name="Option 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419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Tarjeta de crédito  (+10%)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25</xdr:row>
          <xdr:rowOff>190500</xdr:rowOff>
        </xdr:from>
        <xdr:to>
          <xdr:col>10</xdr:col>
          <xdr:colOff>619125</xdr:colOff>
          <xdr:row>27</xdr:row>
          <xdr:rowOff>38100</xdr:rowOff>
        </xdr:to>
        <xdr:sp macro="" textlink="">
          <xdr:nvSpPr>
            <xdr:cNvPr id="1082" name="Drop Dow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695325</xdr:colOff>
          <xdr:row>18</xdr:row>
          <xdr:rowOff>57150</xdr:rowOff>
        </xdr:from>
        <xdr:to>
          <xdr:col>6</xdr:col>
          <xdr:colOff>723900</xdr:colOff>
          <xdr:row>19</xdr:row>
          <xdr:rowOff>152400</xdr:rowOff>
        </xdr:to>
        <xdr:sp macro="" textlink="">
          <xdr:nvSpPr>
            <xdr:cNvPr id="1083" name="Option 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419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Tarjeta de débito  (+5%)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695325</xdr:colOff>
          <xdr:row>20</xdr:row>
          <xdr:rowOff>57150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084" name="Option 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419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Transferencia bancaria  (+15%)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306481</xdr:colOff>
          <xdr:row>28</xdr:row>
          <xdr:rowOff>47625</xdr:rowOff>
        </xdr:from>
        <xdr:to>
          <xdr:col>10</xdr:col>
          <xdr:colOff>697006</xdr:colOff>
          <xdr:row>29</xdr:row>
          <xdr:rowOff>133350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 presupuesto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306481</xdr:colOff>
          <xdr:row>30</xdr:row>
          <xdr:rowOff>9525</xdr:rowOff>
        </xdr:from>
        <xdr:to>
          <xdr:col>10</xdr:col>
          <xdr:colOff>697006</xdr:colOff>
          <xdr:row>31</xdr:row>
          <xdr:rowOff>114300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presupuesto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317687</xdr:colOff>
          <xdr:row>28</xdr:row>
          <xdr:rowOff>47625</xdr:rowOff>
        </xdr:from>
        <xdr:to>
          <xdr:col>13</xdr:col>
          <xdr:colOff>708212</xdr:colOff>
          <xdr:row>29</xdr:row>
          <xdr:rowOff>142875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317687</xdr:colOff>
          <xdr:row>30</xdr:row>
          <xdr:rowOff>9525</xdr:rowOff>
        </xdr:from>
        <xdr:to>
          <xdr:col>13</xdr:col>
          <xdr:colOff>708212</xdr:colOff>
          <xdr:row>31</xdr:row>
          <xdr:rowOff>114300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cliente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209550</xdr:colOff>
      <xdr:row>0</xdr:row>
      <xdr:rowOff>361951</xdr:rowOff>
    </xdr:from>
    <xdr:to>
      <xdr:col>2</xdr:col>
      <xdr:colOff>2179657</xdr:colOff>
      <xdr:row>0</xdr:row>
      <xdr:rowOff>1809751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06FFA5E-5E97-4D76-AA6A-18A646817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95750" y="361951"/>
          <a:ext cx="1970107" cy="14478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B23B2-5381-4BBB-A5A8-9B8801761837}">
  <sheetPr codeName="Hoja1">
    <tabColor rgb="FF00B050"/>
  </sheetPr>
  <dimension ref="A1:AH36"/>
  <sheetViews>
    <sheetView showGridLines="0" showRowColHeaders="0" tabSelected="1" zoomScale="85" zoomScaleNormal="85" workbookViewId="0">
      <selection activeCell="M42" sqref="M42"/>
    </sheetView>
  </sheetViews>
  <sheetFormatPr baseColWidth="10" defaultRowHeight="15" x14ac:dyDescent="0.25"/>
  <cols>
    <col min="1" max="1" width="4.7109375" style="45" customWidth="1"/>
    <col min="2" max="14" width="11.42578125" style="45"/>
    <col min="15" max="15" width="4.7109375" style="45" customWidth="1"/>
    <col min="16" max="16384" width="11.42578125" style="45"/>
  </cols>
  <sheetData>
    <row r="1" spans="1:34" x14ac:dyDescent="0.25">
      <c r="A1" s="89" t="s">
        <v>44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80"/>
      <c r="M1" s="81"/>
      <c r="N1" s="81"/>
      <c r="O1" s="82"/>
    </row>
    <row r="2" spans="1:34" ht="15" customHeight="1" x14ac:dyDescent="0.25">
      <c r="A2" s="91"/>
      <c r="B2" s="92"/>
      <c r="C2" s="92"/>
      <c r="D2" s="92"/>
      <c r="E2" s="92"/>
      <c r="F2" s="92"/>
      <c r="G2" s="92"/>
      <c r="H2" s="92"/>
      <c r="I2" s="92"/>
      <c r="J2" s="92"/>
      <c r="K2" s="92"/>
      <c r="L2" s="83"/>
      <c r="M2" s="84"/>
      <c r="N2" s="84"/>
      <c r="O2" s="85"/>
    </row>
    <row r="3" spans="1:34" ht="15" customHeight="1" x14ac:dyDescent="0.25">
      <c r="A3" s="91"/>
      <c r="B3" s="92"/>
      <c r="C3" s="92"/>
      <c r="D3" s="92"/>
      <c r="E3" s="92"/>
      <c r="F3" s="92"/>
      <c r="G3" s="92"/>
      <c r="H3" s="92"/>
      <c r="I3" s="92"/>
      <c r="J3" s="92"/>
      <c r="K3" s="92"/>
      <c r="L3" s="83"/>
      <c r="M3" s="84"/>
      <c r="N3" s="84"/>
      <c r="O3" s="85"/>
    </row>
    <row r="4" spans="1:34" ht="15" customHeight="1" x14ac:dyDescent="0.25">
      <c r="A4" s="91"/>
      <c r="B4" s="92"/>
      <c r="C4" s="92"/>
      <c r="D4" s="92"/>
      <c r="E4" s="92"/>
      <c r="F4" s="92"/>
      <c r="G4" s="92"/>
      <c r="H4" s="92"/>
      <c r="I4" s="92"/>
      <c r="J4" s="92"/>
      <c r="K4" s="92"/>
      <c r="L4" s="83"/>
      <c r="M4" s="84"/>
      <c r="N4" s="84"/>
      <c r="O4" s="85"/>
      <c r="AE4" s="45">
        <v>1</v>
      </c>
      <c r="AH4" s="45" t="b">
        <v>0</v>
      </c>
    </row>
    <row r="5" spans="1:34" ht="15" customHeight="1" x14ac:dyDescent="0.25">
      <c r="A5" s="93"/>
      <c r="B5" s="94"/>
      <c r="C5" s="94"/>
      <c r="D5" s="94"/>
      <c r="E5" s="94"/>
      <c r="F5" s="94"/>
      <c r="G5" s="94"/>
      <c r="H5" s="94"/>
      <c r="I5" s="94"/>
      <c r="J5" s="94"/>
      <c r="K5" s="94"/>
      <c r="L5" s="83"/>
      <c r="M5" s="84"/>
      <c r="N5" s="84"/>
      <c r="O5" s="85"/>
    </row>
    <row r="6" spans="1:34" ht="15" customHeight="1" x14ac:dyDescent="0.25">
      <c r="A6" s="74"/>
      <c r="B6" s="96" t="s">
        <v>36</v>
      </c>
      <c r="C6" s="96"/>
      <c r="D6" s="72"/>
      <c r="E6" s="72"/>
      <c r="F6" s="72"/>
      <c r="G6" s="72"/>
      <c r="H6" s="72"/>
      <c r="I6" s="101" t="s">
        <v>54</v>
      </c>
      <c r="J6" s="101"/>
      <c r="K6" s="101"/>
      <c r="L6" s="83"/>
      <c r="M6" s="84"/>
      <c r="N6" s="84"/>
      <c r="O6" s="85"/>
    </row>
    <row r="7" spans="1:34" ht="15" customHeight="1" x14ac:dyDescent="0.25">
      <c r="A7" s="74"/>
      <c r="B7" s="96"/>
      <c r="C7" s="96"/>
      <c r="D7" s="72"/>
      <c r="E7" s="72"/>
      <c r="F7" s="72"/>
      <c r="G7" s="72"/>
      <c r="H7" s="72"/>
      <c r="I7" s="101"/>
      <c r="J7" s="101"/>
      <c r="K7" s="101"/>
      <c r="L7" s="83"/>
      <c r="M7" s="84"/>
      <c r="N7" s="84"/>
      <c r="O7" s="85"/>
    </row>
    <row r="8" spans="1:34" x14ac:dyDescent="0.25">
      <c r="A8" s="74"/>
      <c r="B8" s="97" t="s">
        <v>52</v>
      </c>
      <c r="C8" s="97"/>
      <c r="D8" s="98"/>
      <c r="E8" s="98"/>
      <c r="F8" s="98"/>
      <c r="G8" s="98"/>
      <c r="H8" s="98"/>
      <c r="I8" s="101"/>
      <c r="J8" s="101"/>
      <c r="K8" s="101"/>
      <c r="L8" s="83"/>
      <c r="M8" s="84"/>
      <c r="N8" s="84"/>
      <c r="O8" s="85"/>
    </row>
    <row r="9" spans="1:34" x14ac:dyDescent="0.25">
      <c r="A9" s="74"/>
      <c r="B9" s="97"/>
      <c r="C9" s="97"/>
      <c r="D9" s="98"/>
      <c r="E9" s="98"/>
      <c r="F9" s="98"/>
      <c r="G9" s="98"/>
      <c r="H9" s="98"/>
      <c r="I9" s="102">
        <f ca="1">TODAY()+8</f>
        <v>44121</v>
      </c>
      <c r="J9" s="102"/>
      <c r="K9" s="102"/>
      <c r="L9" s="83"/>
      <c r="M9" s="84"/>
      <c r="N9" s="84"/>
      <c r="O9" s="85"/>
    </row>
    <row r="10" spans="1:34" ht="15" customHeight="1" x14ac:dyDescent="0.25">
      <c r="A10" s="74"/>
      <c r="B10" s="97" t="s">
        <v>53</v>
      </c>
      <c r="C10" s="97"/>
      <c r="D10" s="98"/>
      <c r="E10" s="98"/>
      <c r="F10" s="98"/>
      <c r="G10" s="98"/>
      <c r="H10" s="98"/>
      <c r="I10" s="102"/>
      <c r="J10" s="102"/>
      <c r="K10" s="102"/>
      <c r="L10" s="83"/>
      <c r="M10" s="84"/>
      <c r="N10" s="84"/>
      <c r="O10" s="85"/>
    </row>
    <row r="11" spans="1:34" ht="15" customHeight="1" x14ac:dyDescent="0.25">
      <c r="A11" s="74"/>
      <c r="B11" s="97"/>
      <c r="C11" s="97"/>
      <c r="D11" s="98"/>
      <c r="E11" s="98"/>
      <c r="F11" s="98"/>
      <c r="G11" s="98"/>
      <c r="H11" s="98"/>
      <c r="I11" s="102"/>
      <c r="J11" s="102"/>
      <c r="K11" s="102"/>
      <c r="L11" s="86"/>
      <c r="M11" s="87"/>
      <c r="N11" s="87"/>
      <c r="O11" s="88"/>
    </row>
    <row r="12" spans="1:34" ht="15.75" customHeight="1" x14ac:dyDescent="0.25">
      <c r="A12" s="74"/>
      <c r="B12" s="107" t="s">
        <v>55</v>
      </c>
      <c r="C12" s="107"/>
      <c r="D12" s="107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3"/>
    </row>
    <row r="13" spans="1:34" x14ac:dyDescent="0.25">
      <c r="A13" s="74"/>
      <c r="B13" s="107"/>
      <c r="C13" s="107"/>
      <c r="D13" s="107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3"/>
    </row>
    <row r="14" spans="1:34" ht="15" customHeight="1" x14ac:dyDescent="0.25">
      <c r="A14" s="74"/>
      <c r="B14" s="107" t="s">
        <v>63</v>
      </c>
      <c r="C14" s="107"/>
      <c r="D14" s="107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3"/>
    </row>
    <row r="15" spans="1:34" ht="15" customHeight="1" x14ac:dyDescent="0.25">
      <c r="A15" s="74"/>
      <c r="B15" s="107"/>
      <c r="C15" s="107"/>
      <c r="D15" s="107"/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73"/>
    </row>
    <row r="16" spans="1:34" ht="15" customHeight="1" x14ac:dyDescent="0.25">
      <c r="A16" s="74"/>
      <c r="B16" s="107" t="s">
        <v>56</v>
      </c>
      <c r="C16" s="107"/>
      <c r="D16" s="107"/>
      <c r="E16" s="106" cm="1">
        <f t="array" ref="E16">INDEX(Auxiliar!E4:E14,Auxiliar!B2)*INDEX(Auxiliar!K4:K6,Auxiliar!L2)</f>
        <v>13500</v>
      </c>
      <c r="F16" s="106"/>
      <c r="G16" s="106"/>
      <c r="H16" s="106"/>
      <c r="I16" s="72"/>
      <c r="J16" s="72"/>
      <c r="K16" s="72"/>
      <c r="L16" s="72"/>
      <c r="M16" s="72"/>
      <c r="N16" s="72"/>
      <c r="O16" s="73"/>
    </row>
    <row r="17" spans="1:15" ht="15" customHeight="1" x14ac:dyDescent="0.25">
      <c r="A17" s="74"/>
      <c r="B17" s="107"/>
      <c r="C17" s="107"/>
      <c r="D17" s="107"/>
      <c r="E17" s="106"/>
      <c r="F17" s="106"/>
      <c r="G17" s="106"/>
      <c r="H17" s="106"/>
      <c r="I17" s="72"/>
      <c r="J17" s="72"/>
      <c r="K17" s="72"/>
      <c r="L17" s="72"/>
      <c r="M17" s="72"/>
      <c r="N17" s="72"/>
      <c r="O17" s="73"/>
    </row>
    <row r="18" spans="1:15" x14ac:dyDescent="0.25">
      <c r="A18" s="74"/>
      <c r="B18" s="72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3"/>
    </row>
    <row r="19" spans="1:15" x14ac:dyDescent="0.25">
      <c r="A19" s="74"/>
      <c r="B19" s="72"/>
      <c r="C19" s="72"/>
      <c r="D19" s="72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73"/>
    </row>
    <row r="20" spans="1:15" x14ac:dyDescent="0.25">
      <c r="A20" s="74"/>
      <c r="B20" s="72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3"/>
    </row>
    <row r="21" spans="1:15" x14ac:dyDescent="0.25">
      <c r="A21" s="74"/>
      <c r="B21" s="72"/>
      <c r="C21" s="72"/>
      <c r="D21" s="72"/>
      <c r="E21" s="72"/>
      <c r="F21" s="72"/>
      <c r="G21" s="72"/>
      <c r="H21" s="72"/>
      <c r="I21" s="72"/>
      <c r="J21" s="72"/>
      <c r="K21" s="72"/>
      <c r="L21" s="72"/>
      <c r="M21" s="72"/>
      <c r="N21" s="72"/>
      <c r="O21" s="73"/>
    </row>
    <row r="22" spans="1:15" x14ac:dyDescent="0.25">
      <c r="A22" s="74"/>
      <c r="B22" s="72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3"/>
    </row>
    <row r="23" spans="1:15" x14ac:dyDescent="0.25">
      <c r="A23" s="74"/>
      <c r="B23" s="72"/>
      <c r="C23" s="72"/>
      <c r="D23" s="72"/>
      <c r="E23" s="72"/>
      <c r="F23" s="72"/>
      <c r="G23" s="72"/>
      <c r="H23" s="72"/>
      <c r="I23" s="72"/>
      <c r="J23" s="72"/>
      <c r="K23" s="72"/>
      <c r="L23" s="72"/>
      <c r="M23" s="72"/>
      <c r="N23" s="72"/>
      <c r="O23" s="73"/>
    </row>
    <row r="24" spans="1:15" ht="15.75" x14ac:dyDescent="0.25">
      <c r="A24" s="74"/>
      <c r="B24" s="95" t="s">
        <v>62</v>
      </c>
      <c r="C24" s="95"/>
      <c r="D24" s="95"/>
      <c r="E24" s="99">
        <f>E16+SUMIF(Auxiliar!I4:I7,"=VERDADERO",Auxiliar!G4:G7)</f>
        <v>13500</v>
      </c>
      <c r="F24" s="99"/>
      <c r="G24" s="99"/>
      <c r="H24" s="99"/>
      <c r="I24" s="72"/>
      <c r="J24" s="72"/>
      <c r="K24" s="72"/>
      <c r="L24" s="72"/>
      <c r="M24" s="72"/>
      <c r="N24" s="72"/>
      <c r="O24" s="73"/>
    </row>
    <row r="25" spans="1:15" ht="15.75" x14ac:dyDescent="0.25">
      <c r="A25" s="74"/>
      <c r="B25" s="95" t="s">
        <v>61</v>
      </c>
      <c r="C25" s="95"/>
      <c r="D25" s="95"/>
      <c r="E25" s="99" cm="1">
        <f t="array" ref="E25">E24*(1+INDEX(Auxiliar!O4:O8,Auxiliar!P2))</f>
        <v>14175</v>
      </c>
      <c r="F25" s="99"/>
      <c r="G25" s="99"/>
      <c r="H25" s="99"/>
      <c r="I25" s="72"/>
      <c r="J25" s="72"/>
      <c r="K25" s="72"/>
      <c r="L25" s="72"/>
      <c r="M25" s="72"/>
      <c r="N25" s="72"/>
      <c r="O25" s="73"/>
    </row>
    <row r="26" spans="1:15" ht="15.75" x14ac:dyDescent="0.25">
      <c r="A26" s="74"/>
      <c r="B26" s="95" t="s">
        <v>60</v>
      </c>
      <c r="C26" s="95"/>
      <c r="D26" s="95"/>
      <c r="E26" s="99" cm="1">
        <f t="array" ref="E26">E25*(1+INDEX(Auxiliar!S4:S7,Auxiliar!T2))</f>
        <v>13466.25</v>
      </c>
      <c r="F26" s="99"/>
      <c r="G26" s="99"/>
      <c r="H26" s="99"/>
      <c r="I26" s="100" t="s">
        <v>65</v>
      </c>
      <c r="J26" s="100"/>
      <c r="K26" s="72"/>
      <c r="L26" s="72"/>
      <c r="M26" s="72"/>
      <c r="N26" s="72"/>
      <c r="O26" s="73"/>
    </row>
    <row r="27" spans="1:15" ht="15.75" x14ac:dyDescent="0.25">
      <c r="A27" s="74"/>
      <c r="B27" s="95" t="s">
        <v>59</v>
      </c>
      <c r="C27" s="95"/>
      <c r="D27" s="95"/>
      <c r="E27" s="99">
        <f>E25*Auxiliar!AD4</f>
        <v>2976.75</v>
      </c>
      <c r="F27" s="99"/>
      <c r="G27" s="99"/>
      <c r="H27" s="99"/>
      <c r="I27" s="105"/>
      <c r="J27" s="105"/>
      <c r="K27" s="72"/>
      <c r="L27" s="72"/>
      <c r="M27" s="72"/>
      <c r="N27" s="72"/>
      <c r="O27" s="73"/>
    </row>
    <row r="28" spans="1:15" ht="15.75" x14ac:dyDescent="0.25">
      <c r="A28" s="74"/>
      <c r="B28" s="95" t="s">
        <v>58</v>
      </c>
      <c r="C28" s="95"/>
      <c r="D28" s="95"/>
      <c r="E28" s="99">
        <f>E26*SUMIF(Auxiliar!Y4:Y7,"=VERDADERO",Auxiliar!W4:W7)</f>
        <v>0</v>
      </c>
      <c r="F28" s="99"/>
      <c r="G28" s="99"/>
      <c r="H28" s="99"/>
      <c r="I28" s="72"/>
      <c r="J28" s="72"/>
      <c r="K28" s="72"/>
      <c r="L28" s="72"/>
      <c r="M28" s="72"/>
      <c r="N28" s="72"/>
      <c r="O28" s="73"/>
    </row>
    <row r="29" spans="1:15" ht="15.75" x14ac:dyDescent="0.25">
      <c r="A29" s="74"/>
      <c r="B29" s="95" t="s">
        <v>57</v>
      </c>
      <c r="C29" s="95"/>
      <c r="D29" s="95"/>
      <c r="E29" s="99">
        <f>E26*0.1</f>
        <v>1346.625</v>
      </c>
      <c r="F29" s="99"/>
      <c r="G29" s="99"/>
      <c r="H29" s="99"/>
      <c r="I29" s="77"/>
      <c r="J29" s="77"/>
      <c r="K29" s="72"/>
      <c r="L29" s="72"/>
      <c r="M29" s="72"/>
      <c r="N29" s="72"/>
      <c r="O29" s="73"/>
    </row>
    <row r="30" spans="1:15" ht="15.75" customHeight="1" x14ac:dyDescent="0.25">
      <c r="A30" s="74"/>
      <c r="B30" s="103" t="s">
        <v>64</v>
      </c>
      <c r="C30" s="103"/>
      <c r="D30" s="103"/>
      <c r="E30" s="104">
        <f>E26+E27-E28+E29</f>
        <v>17789.625</v>
      </c>
      <c r="F30" s="104"/>
      <c r="G30" s="104"/>
      <c r="H30" s="104"/>
      <c r="I30" s="72"/>
      <c r="J30" s="72"/>
      <c r="K30" s="72"/>
      <c r="L30" s="72"/>
      <c r="M30" s="72"/>
      <c r="N30" s="72"/>
      <c r="O30" s="73"/>
    </row>
    <row r="31" spans="1:15" x14ac:dyDescent="0.25">
      <c r="A31" s="74"/>
      <c r="B31" s="103"/>
      <c r="C31" s="103"/>
      <c r="D31" s="103"/>
      <c r="E31" s="104"/>
      <c r="F31" s="104"/>
      <c r="G31" s="104"/>
      <c r="H31" s="104"/>
      <c r="I31" s="72"/>
      <c r="J31" s="72"/>
      <c r="K31" s="72"/>
      <c r="L31" s="72"/>
      <c r="M31" s="72"/>
      <c r="N31" s="72"/>
      <c r="O31" s="73"/>
    </row>
    <row r="32" spans="1:15" x14ac:dyDescent="0.25">
      <c r="A32" s="78"/>
      <c r="B32" s="79"/>
      <c r="C32" s="79"/>
      <c r="D32" s="79"/>
      <c r="E32" s="79"/>
      <c r="F32" s="79"/>
      <c r="G32" s="79"/>
      <c r="H32" s="79"/>
      <c r="I32" s="75"/>
      <c r="J32" s="75"/>
      <c r="K32" s="75"/>
      <c r="L32" s="75"/>
      <c r="M32" s="75"/>
      <c r="N32" s="75"/>
      <c r="O32" s="76"/>
    </row>
    <row r="35" spans="9:13" x14ac:dyDescent="0.25">
      <c r="I35" s="46"/>
      <c r="M35"/>
    </row>
    <row r="36" spans="9:13" x14ac:dyDescent="0.25">
      <c r="J36"/>
    </row>
  </sheetData>
  <mergeCells count="28">
    <mergeCell ref="E29:H29"/>
    <mergeCell ref="I26:J26"/>
    <mergeCell ref="I6:K8"/>
    <mergeCell ref="I9:K11"/>
    <mergeCell ref="B30:D31"/>
    <mergeCell ref="E30:H31"/>
    <mergeCell ref="I27:J27"/>
    <mergeCell ref="E16:H17"/>
    <mergeCell ref="E24:H24"/>
    <mergeCell ref="E25:H25"/>
    <mergeCell ref="E26:H26"/>
    <mergeCell ref="E27:H27"/>
    <mergeCell ref="E28:H28"/>
    <mergeCell ref="B12:D13"/>
    <mergeCell ref="B14:D15"/>
    <mergeCell ref="B16:D17"/>
    <mergeCell ref="B25:D25"/>
    <mergeCell ref="B26:D26"/>
    <mergeCell ref="B27:D27"/>
    <mergeCell ref="B28:D28"/>
    <mergeCell ref="B29:D29"/>
    <mergeCell ref="A1:K5"/>
    <mergeCell ref="B24:D24"/>
    <mergeCell ref="B6:C7"/>
    <mergeCell ref="B8:C9"/>
    <mergeCell ref="B10:C11"/>
    <mergeCell ref="D8:H9"/>
    <mergeCell ref="D10:H11"/>
  </mergeCells>
  <pageMargins left="0.25" right="0.25" top="0.75" bottom="0.75" header="0.3" footer="0.3"/>
  <pageSetup paperSize="9" orientation="portrait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3" r:id="rId4" name="Option Button 69">
              <controlPr defaultSize="0" autoFill="0" autoLine="0" autoPict="0">
                <anchor moveWithCells="1">
                  <from>
                    <xdr:col>11</xdr:col>
                    <xdr:colOff>352425</xdr:colOff>
                    <xdr:row>18</xdr:row>
                    <xdr:rowOff>66675</xdr:rowOff>
                  </from>
                  <to>
                    <xdr:col>12</xdr:col>
                    <xdr:colOff>476250</xdr:colOff>
                    <xdr:row>21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5" name="Option Button 68">
              <controlPr defaultSize="0" autoFill="0" autoLine="0" autoPict="0">
                <anchor moveWithCells="1">
                  <from>
                    <xdr:col>11</xdr:col>
                    <xdr:colOff>352425</xdr:colOff>
                    <xdr:row>21</xdr:row>
                    <xdr:rowOff>66675</xdr:rowOff>
                  </from>
                  <to>
                    <xdr:col>12</xdr:col>
                    <xdr:colOff>476250</xdr:colOff>
                    <xdr:row>24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6" name="Option Button 67">
              <controlPr defaultSize="0" autoFill="0" autoLine="0" autoPict="0">
                <anchor moveWithCells="1">
                  <from>
                    <xdr:col>11</xdr:col>
                    <xdr:colOff>371475</xdr:colOff>
                    <xdr:row>24</xdr:row>
                    <xdr:rowOff>85725</xdr:rowOff>
                  </from>
                  <to>
                    <xdr:col>12</xdr:col>
                    <xdr:colOff>495300</xdr:colOff>
                    <xdr:row>27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7" name="Option Button 65">
              <controlPr defaultSize="0" autoFill="0" autoLine="0" autoPict="0">
                <anchor moveWithCells="1">
                  <from>
                    <xdr:col>12</xdr:col>
                    <xdr:colOff>504825</xdr:colOff>
                    <xdr:row>19</xdr:row>
                    <xdr:rowOff>161925</xdr:rowOff>
                  </from>
                  <to>
                    <xdr:col>13</xdr:col>
                    <xdr:colOff>628650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8" name="Option Button 64">
              <controlPr defaultSize="0" autoFill="0" autoLine="0" autoPict="0">
                <anchor moveWithCells="1">
                  <from>
                    <xdr:col>12</xdr:col>
                    <xdr:colOff>495300</xdr:colOff>
                    <xdr:row>23</xdr:row>
                    <xdr:rowOff>9525</xdr:rowOff>
                  </from>
                  <to>
                    <xdr:col>13</xdr:col>
                    <xdr:colOff>619125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9" name="Drop Down 2">
              <controlPr defaultSize="0" autoLine="0" autoPict="0">
                <anchor moveWithCells="1">
                  <from>
                    <xdr:col>3</xdr:col>
                    <xdr:colOff>47625</xdr:colOff>
                    <xdr:row>5</xdr:row>
                    <xdr:rowOff>57150</xdr:rowOff>
                  </from>
                  <to>
                    <xdr:col>7</xdr:col>
                    <xdr:colOff>752475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0" name="Drop Down 4">
              <controlPr defaultSize="0" autoLine="0" autoPict="0">
                <anchor moveWithCells="1">
                  <from>
                    <xdr:col>4</xdr:col>
                    <xdr:colOff>57150</xdr:colOff>
                    <xdr:row>11</xdr:row>
                    <xdr:rowOff>57150</xdr:rowOff>
                  </from>
                  <to>
                    <xdr:col>7</xdr:col>
                    <xdr:colOff>704850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1" name="Drop Down 5">
              <controlPr defaultSize="0" autoLine="0" autoPict="0">
                <anchor moveWithCells="1">
                  <from>
                    <xdr:col>4</xdr:col>
                    <xdr:colOff>57150</xdr:colOff>
                    <xdr:row>13</xdr:row>
                    <xdr:rowOff>57150</xdr:rowOff>
                  </from>
                  <to>
                    <xdr:col>7</xdr:col>
                    <xdr:colOff>704850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2" name="Group Box 6">
              <controlPr defaultSize="0" autoFill="0" autoPict="0">
                <anchor moveWithCells="1">
                  <from>
                    <xdr:col>1</xdr:col>
                    <xdr:colOff>171450</xdr:colOff>
                    <xdr:row>17</xdr:row>
                    <xdr:rowOff>104775</xdr:rowOff>
                  </from>
                  <to>
                    <xdr:col>7</xdr:col>
                    <xdr:colOff>590550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3" name="Group Box 7">
              <controlPr defaultSize="0" autoFill="0" autoPict="0">
                <anchor moveWithCells="1">
                  <from>
                    <xdr:col>8</xdr:col>
                    <xdr:colOff>190500</xdr:colOff>
                    <xdr:row>11</xdr:row>
                    <xdr:rowOff>161925</xdr:rowOff>
                  </from>
                  <to>
                    <xdr:col>14</xdr:col>
                    <xdr:colOff>38100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4" name="Group Box 9">
              <controlPr defaultSize="0" autoFill="0" autoPict="0">
                <anchor moveWithCells="1">
                  <from>
                    <xdr:col>8</xdr:col>
                    <xdr:colOff>190500</xdr:colOff>
                    <xdr:row>17</xdr:row>
                    <xdr:rowOff>133350</xdr:rowOff>
                  </from>
                  <to>
                    <xdr:col>11</xdr:col>
                    <xdr:colOff>47625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Check Box 12">
              <controlPr defaultSize="0" autoFill="0" autoLine="0" autoPict="0">
                <anchor moveWithCells="1">
                  <from>
                    <xdr:col>8</xdr:col>
                    <xdr:colOff>247650</xdr:colOff>
                    <xdr:row>12</xdr:row>
                    <xdr:rowOff>133350</xdr:rowOff>
                  </from>
                  <to>
                    <xdr:col>10</xdr:col>
                    <xdr:colOff>762000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Check Box 13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133350</xdr:rowOff>
                  </from>
                  <to>
                    <xdr:col>10</xdr:col>
                    <xdr:colOff>762000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7" name="Check Box 16">
              <controlPr defaultSize="0" autoFill="0" autoLine="0" autoPict="0">
                <anchor moveWithCells="1">
                  <from>
                    <xdr:col>8</xdr:col>
                    <xdr:colOff>247650</xdr:colOff>
                    <xdr:row>18</xdr:row>
                    <xdr:rowOff>95250</xdr:rowOff>
                  </from>
                  <to>
                    <xdr:col>11</xdr:col>
                    <xdr:colOff>0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8" name="Check Box 23">
              <controlPr defaultSize="0" autoFill="0" autoLine="0" autoPict="0">
                <anchor moveWithCells="1">
                  <from>
                    <xdr:col>8</xdr:col>
                    <xdr:colOff>247650</xdr:colOff>
                    <xdr:row>19</xdr:row>
                    <xdr:rowOff>190500</xdr:rowOff>
                  </from>
                  <to>
                    <xdr:col>11</xdr:col>
                    <xdr:colOff>0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9" name="Check Box 24">
              <controlPr defaultSize="0" autoFill="0" autoLine="0" autoPict="0">
                <anchor moveWithCells="1">
                  <from>
                    <xdr:col>8</xdr:col>
                    <xdr:colOff>247650</xdr:colOff>
                    <xdr:row>21</xdr:row>
                    <xdr:rowOff>95250</xdr:rowOff>
                  </from>
                  <to>
                    <xdr:col>11</xdr:col>
                    <xdr:colOff>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0" name="Check Box 25">
              <controlPr defaultSize="0" autoFill="0" autoLine="0" autoPict="0">
                <anchor moveWithCells="1">
                  <from>
                    <xdr:col>8</xdr:col>
                    <xdr:colOff>247650</xdr:colOff>
                    <xdr:row>22</xdr:row>
                    <xdr:rowOff>180975</xdr:rowOff>
                  </from>
                  <to>
                    <xdr:col>11</xdr:col>
                    <xdr:colOff>0</xdr:colOff>
                    <xdr:row>24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1" name="Group Box 28">
              <controlPr defaultSize="0" autoFill="0" autoPict="0">
                <anchor moveWithCells="1">
                  <from>
                    <xdr:col>11</xdr:col>
                    <xdr:colOff>190500</xdr:colOff>
                    <xdr:row>17</xdr:row>
                    <xdr:rowOff>133350</xdr:rowOff>
                  </from>
                  <to>
                    <xdr:col>14</xdr:col>
                    <xdr:colOff>47625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2" name="Check Box 35">
              <controlPr defaultSize="0" autoFill="0" autoLine="0" autoPict="0">
                <anchor moveWithCells="1">
                  <from>
                    <xdr:col>11</xdr:col>
                    <xdr:colOff>247650</xdr:colOff>
                    <xdr:row>12</xdr:row>
                    <xdr:rowOff>133350</xdr:rowOff>
                  </from>
                  <to>
                    <xdr:col>13</xdr:col>
                    <xdr:colOff>762000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3" name="Check Box 36">
              <controlPr defaultSize="0" autoFill="0" autoLine="0" autoPict="0">
                <anchor moveWithCells="1">
                  <from>
                    <xdr:col>11</xdr:col>
                    <xdr:colOff>247650</xdr:colOff>
                    <xdr:row>14</xdr:row>
                    <xdr:rowOff>133350</xdr:rowOff>
                  </from>
                  <to>
                    <xdr:col>13</xdr:col>
                    <xdr:colOff>762000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24" name="Option Button 37">
              <controlPr defaultSize="0" autoFill="0" autoLine="0" autoPict="0">
                <anchor moveWithCells="1">
                  <from>
                    <xdr:col>1</xdr:col>
                    <xdr:colOff>695325</xdr:colOff>
                    <xdr:row>18</xdr:row>
                    <xdr:rowOff>57150</xdr:rowOff>
                  </from>
                  <to>
                    <xdr:col>3</xdr:col>
                    <xdr:colOff>723900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25" name="Option Button 55">
              <controlPr defaultSize="0" autoFill="0" autoLine="0" autoPict="0">
                <anchor moveWithCells="1">
                  <from>
                    <xdr:col>1</xdr:col>
                    <xdr:colOff>695325</xdr:colOff>
                    <xdr:row>20</xdr:row>
                    <xdr:rowOff>57150</xdr:rowOff>
                  </from>
                  <to>
                    <xdr:col>3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26" name="Drop Down 58">
              <controlPr defaultSize="0" autoLine="0" autoPict="0">
                <anchor moveWithCells="1">
                  <from>
                    <xdr:col>8</xdr:col>
                    <xdr:colOff>400050</xdr:colOff>
                    <xdr:row>25</xdr:row>
                    <xdr:rowOff>190500</xdr:rowOff>
                  </from>
                  <to>
                    <xdr:col>10</xdr:col>
                    <xdr:colOff>619125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27" name="Option Button 59">
              <controlPr defaultSize="0" autoFill="0" autoLine="0" autoPict="0">
                <anchor moveWithCells="1">
                  <from>
                    <xdr:col>4</xdr:col>
                    <xdr:colOff>695325</xdr:colOff>
                    <xdr:row>18</xdr:row>
                    <xdr:rowOff>57150</xdr:rowOff>
                  </from>
                  <to>
                    <xdr:col>6</xdr:col>
                    <xdr:colOff>723900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28" name="Option Button 60">
              <controlPr defaultSize="0" autoFill="0" autoLine="0" autoPict="0">
                <anchor moveWithCells="1">
                  <from>
                    <xdr:col>4</xdr:col>
                    <xdr:colOff>695325</xdr:colOff>
                    <xdr:row>20</xdr:row>
                    <xdr:rowOff>57150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29" name="Button 61">
              <controlPr defaultSize="0" print="0" autoFill="0" autoPict="0" macro="[0]!GuardarPresupuesto">
                <anchor moveWithCells="1" sizeWithCells="1">
                  <from>
                    <xdr:col>8</xdr:col>
                    <xdr:colOff>304800</xdr:colOff>
                    <xdr:row>28</xdr:row>
                    <xdr:rowOff>47625</xdr:rowOff>
                  </from>
                  <to>
                    <xdr:col>10</xdr:col>
                    <xdr:colOff>695325</xdr:colOff>
                    <xdr:row>29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30" name="Button 75">
              <controlPr defaultSize="0" print="0" autoFill="0" autoPict="0" macro="[0]!BorrarPresupuesto">
                <anchor moveWithCells="1" sizeWithCells="1">
                  <from>
                    <xdr:col>8</xdr:col>
                    <xdr:colOff>304800</xdr:colOff>
                    <xdr:row>30</xdr:row>
                    <xdr:rowOff>9525</xdr:rowOff>
                  </from>
                  <to>
                    <xdr:col>10</xdr:col>
                    <xdr:colOff>695325</xdr:colOff>
                    <xdr:row>31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31" name="Button 76">
              <controlPr defaultSize="0" print="0" autoFill="0" autoPict="0" macro="[0]!CreaPDF">
                <anchor moveWithCells="1" sizeWithCells="1">
                  <from>
                    <xdr:col>11</xdr:col>
                    <xdr:colOff>314325</xdr:colOff>
                    <xdr:row>28</xdr:row>
                    <xdr:rowOff>47625</xdr:rowOff>
                  </from>
                  <to>
                    <xdr:col>13</xdr:col>
                    <xdr:colOff>704850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32" name="Button 77">
              <controlPr defaultSize="0" print="0" autoFill="0" autoPict="0" macro="[0]!BorrarCliente">
                <anchor moveWithCells="1" sizeWithCells="1">
                  <from>
                    <xdr:col>11</xdr:col>
                    <xdr:colOff>314325</xdr:colOff>
                    <xdr:row>30</xdr:row>
                    <xdr:rowOff>9525</xdr:rowOff>
                  </from>
                  <to>
                    <xdr:col>13</xdr:col>
                    <xdr:colOff>704850</xdr:colOff>
                    <xdr:row>31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CE0BC-AD21-46BC-8996-12DAA100437B}">
  <sheetPr codeName="Hoja2">
    <tabColor rgb="FFFFFF00"/>
  </sheetPr>
  <dimension ref="A1:AI21"/>
  <sheetViews>
    <sheetView topLeftCell="F1" workbookViewId="0">
      <selection activeCell="AF16" sqref="AF16"/>
    </sheetView>
  </sheetViews>
  <sheetFormatPr baseColWidth="10" defaultRowHeight="15" x14ac:dyDescent="0.25"/>
  <cols>
    <col min="1" max="1" width="20" bestFit="1" customWidth="1"/>
    <col min="2" max="2" width="15.5703125" bestFit="1" customWidth="1"/>
    <col min="3" max="3" width="2.7109375" style="11" customWidth="1"/>
    <col min="4" max="4" width="3" style="7" bestFit="1" customWidth="1"/>
    <col min="5" max="5" width="11.28515625" style="64" bestFit="1" customWidth="1"/>
    <col min="6" max="6" width="3" style="11" customWidth="1"/>
    <col min="7" max="7" width="11.28515625" style="68" bestFit="1" customWidth="1"/>
    <col min="8" max="8" width="15" bestFit="1" customWidth="1"/>
    <col min="9" max="9" width="11.85546875" bestFit="1" customWidth="1"/>
    <col min="10" max="10" width="2.7109375" style="11" customWidth="1"/>
    <col min="11" max="11" width="5.5703125" style="7" bestFit="1" customWidth="1"/>
    <col min="12" max="12" width="17.85546875" style="7" bestFit="1" customWidth="1"/>
    <col min="13" max="13" width="5" style="7" bestFit="1" customWidth="1"/>
    <col min="14" max="14" width="2.85546875" style="11" customWidth="1"/>
    <col min="15" max="15" width="5.85546875" style="7" bestFit="1" customWidth="1"/>
    <col min="16" max="16" width="12.28515625" style="7" bestFit="1" customWidth="1"/>
    <col min="17" max="17" width="12.28515625" style="7" customWidth="1"/>
    <col min="18" max="18" width="3.28515625" style="11" customWidth="1"/>
    <col min="19" max="19" width="4.5703125" style="7" bestFit="1" customWidth="1"/>
    <col min="20" max="20" width="21" style="7" bestFit="1" customWidth="1"/>
    <col min="21" max="21" width="5.42578125" style="7" customWidth="1"/>
    <col min="22" max="22" width="2.7109375" style="11" customWidth="1"/>
    <col min="23" max="23" width="4.5703125" style="7" bestFit="1" customWidth="1"/>
    <col min="24" max="24" width="18.28515625" style="7" bestFit="1" customWidth="1"/>
    <col min="25" max="25" width="11.85546875" style="7" bestFit="1" customWidth="1"/>
    <col min="26" max="26" width="2.42578125" style="11" customWidth="1"/>
    <col min="27" max="27" width="5" style="7" bestFit="1" customWidth="1"/>
    <col min="28" max="28" width="17.140625" style="7" bestFit="1" customWidth="1"/>
    <col min="29" max="29" width="2.5703125" style="11" customWidth="1"/>
    <col min="30" max="30" width="15.28515625" bestFit="1" customWidth="1"/>
    <col min="31" max="31" width="2.85546875" style="11" customWidth="1"/>
    <col min="33" max="33" width="2.85546875" style="11" customWidth="1"/>
    <col min="34" max="34" width="11.85546875" bestFit="1" customWidth="1"/>
    <col min="35" max="35" width="2.85546875" style="11" customWidth="1"/>
  </cols>
  <sheetData>
    <row r="1" spans="1:35" x14ac:dyDescent="0.25">
      <c r="A1" s="6" t="s">
        <v>1</v>
      </c>
      <c r="B1" s="1"/>
      <c r="C1" s="62"/>
      <c r="D1" s="2"/>
      <c r="E1" s="63"/>
      <c r="F1" s="62"/>
      <c r="G1" s="67"/>
      <c r="H1" s="3"/>
      <c r="I1" s="3"/>
      <c r="J1" s="62"/>
      <c r="K1" s="4"/>
      <c r="L1" s="4"/>
      <c r="M1" s="4"/>
      <c r="N1" s="62"/>
      <c r="O1" s="28"/>
      <c r="P1" s="28"/>
      <c r="Q1" s="28"/>
      <c r="R1" s="62"/>
      <c r="S1" s="31"/>
      <c r="T1" s="31"/>
      <c r="U1" s="31"/>
      <c r="V1" s="62"/>
      <c r="W1" s="1"/>
      <c r="X1" s="1"/>
      <c r="Y1" s="1"/>
      <c r="Z1" s="62"/>
      <c r="AA1" s="56"/>
      <c r="AB1" s="55"/>
      <c r="AC1" s="62"/>
      <c r="AD1" s="59"/>
      <c r="AE1" s="62"/>
      <c r="AF1" s="60"/>
      <c r="AG1" s="62"/>
      <c r="AH1" s="61"/>
      <c r="AI1" s="62"/>
    </row>
    <row r="2" spans="1:35" x14ac:dyDescent="0.25">
      <c r="B2" s="44">
        <v>1</v>
      </c>
      <c r="L2" s="42">
        <v>1</v>
      </c>
      <c r="P2" s="7">
        <v>1</v>
      </c>
      <c r="T2" s="7">
        <v>1</v>
      </c>
      <c r="AA2" s="42">
        <v>1</v>
      </c>
      <c r="AB2" s="7" t="str" cm="1">
        <f t="array" ref="AB2">INDEX(vendedores,AA2)</f>
        <v>Alejandra Esteban</v>
      </c>
    </row>
    <row r="3" spans="1:35" x14ac:dyDescent="0.25">
      <c r="B3" s="8" t="s">
        <v>0</v>
      </c>
      <c r="C3" s="12"/>
      <c r="D3" s="20"/>
      <c r="E3" s="65" t="s">
        <v>13</v>
      </c>
      <c r="F3" s="12"/>
      <c r="G3" s="69"/>
      <c r="H3" s="10" t="s">
        <v>14</v>
      </c>
      <c r="I3" s="10"/>
      <c r="J3" s="15"/>
      <c r="K3" s="23"/>
      <c r="L3" s="24" t="s">
        <v>19</v>
      </c>
      <c r="M3" s="23"/>
      <c r="N3" s="16"/>
      <c r="O3" s="26"/>
      <c r="P3" s="27" t="s">
        <v>20</v>
      </c>
      <c r="Q3" s="27"/>
      <c r="R3" s="25"/>
      <c r="S3" s="29"/>
      <c r="T3" s="30" t="s">
        <v>25</v>
      </c>
      <c r="U3" s="29"/>
      <c r="W3" s="35"/>
      <c r="X3" s="36" t="s">
        <v>30</v>
      </c>
      <c r="Y3" s="35"/>
      <c r="Z3" s="37"/>
      <c r="AA3" s="57"/>
      <c r="AB3" s="41" t="s">
        <v>36</v>
      </c>
      <c r="AD3" s="40" t="s">
        <v>42</v>
      </c>
      <c r="AF3" s="54" t="s">
        <v>51</v>
      </c>
      <c r="AH3" s="58" t="s">
        <v>68</v>
      </c>
    </row>
    <row r="4" spans="1:35" x14ac:dyDescent="0.25">
      <c r="B4" s="9" t="s">
        <v>2</v>
      </c>
      <c r="C4" s="21"/>
      <c r="D4" s="19"/>
      <c r="E4" s="66">
        <v>15000</v>
      </c>
      <c r="F4" s="13"/>
      <c r="G4" s="70">
        <v>10000</v>
      </c>
      <c r="H4" s="9" t="s">
        <v>15</v>
      </c>
      <c r="I4" s="9" t="b">
        <v>0</v>
      </c>
      <c r="J4" s="16"/>
      <c r="K4" s="49">
        <v>0.9</v>
      </c>
      <c r="L4" s="19">
        <v>2018</v>
      </c>
      <c r="M4" s="19"/>
      <c r="N4" s="16"/>
      <c r="O4" s="47">
        <v>0.05</v>
      </c>
      <c r="P4" s="19" t="s">
        <v>21</v>
      </c>
      <c r="Q4" s="19"/>
      <c r="R4" s="17"/>
      <c r="S4" s="49">
        <v>-0.05</v>
      </c>
      <c r="T4" s="19" t="s">
        <v>26</v>
      </c>
      <c r="U4" s="22"/>
      <c r="W4" s="49">
        <v>0.03</v>
      </c>
      <c r="X4" s="19" t="s">
        <v>31</v>
      </c>
      <c r="Y4" s="22" t="b">
        <v>0</v>
      </c>
      <c r="Z4" s="38"/>
      <c r="AA4" s="19"/>
      <c r="AB4" s="19" t="s">
        <v>37</v>
      </c>
      <c r="AD4" s="9">
        <v>0.21</v>
      </c>
      <c r="AF4" s="39">
        <v>0</v>
      </c>
      <c r="AH4" s="39" t="b">
        <v>0</v>
      </c>
    </row>
    <row r="5" spans="1:35" x14ac:dyDescent="0.25">
      <c r="B5" s="9" t="s">
        <v>3</v>
      </c>
      <c r="C5" s="21"/>
      <c r="D5" s="19"/>
      <c r="E5" s="66">
        <v>20000</v>
      </c>
      <c r="F5" s="13"/>
      <c r="G5" s="50">
        <v>3000</v>
      </c>
      <c r="H5" s="9" t="s">
        <v>16</v>
      </c>
      <c r="I5" s="9" t="b">
        <v>0</v>
      </c>
      <c r="J5" s="16"/>
      <c r="K5" s="49">
        <v>0.95</v>
      </c>
      <c r="L5" s="19">
        <v>2019</v>
      </c>
      <c r="M5" s="19"/>
      <c r="N5" s="16"/>
      <c r="O5" s="47">
        <v>0.1</v>
      </c>
      <c r="P5" s="19" t="s">
        <v>22</v>
      </c>
      <c r="Q5" s="19"/>
      <c r="R5" s="17"/>
      <c r="S5" s="49">
        <v>0.1</v>
      </c>
      <c r="T5" s="19" t="s">
        <v>27</v>
      </c>
      <c r="U5" s="22"/>
      <c r="W5" s="49">
        <v>0.05</v>
      </c>
      <c r="X5" s="19" t="s">
        <v>32</v>
      </c>
      <c r="Y5" s="22" t="b">
        <v>0</v>
      </c>
      <c r="Z5" s="38"/>
      <c r="AA5" s="19"/>
      <c r="AB5" s="19" t="s">
        <v>38</v>
      </c>
    </row>
    <row r="6" spans="1:35" x14ac:dyDescent="0.25">
      <c r="B6" s="9" t="s">
        <v>10</v>
      </c>
      <c r="C6" s="21"/>
      <c r="D6" s="19"/>
      <c r="E6" s="66">
        <v>60000</v>
      </c>
      <c r="F6" s="13"/>
      <c r="G6" s="50">
        <v>15000</v>
      </c>
      <c r="H6" s="9" t="s">
        <v>17</v>
      </c>
      <c r="I6" s="9" t="b">
        <v>0</v>
      </c>
      <c r="J6" s="16"/>
      <c r="K6" s="49">
        <v>1</v>
      </c>
      <c r="L6" s="19">
        <v>2020</v>
      </c>
      <c r="M6" s="19"/>
      <c r="N6" s="16"/>
      <c r="O6" s="47">
        <v>-0.05</v>
      </c>
      <c r="P6" s="19" t="s">
        <v>23</v>
      </c>
      <c r="Q6" s="19"/>
      <c r="R6" s="17"/>
      <c r="S6" s="49">
        <v>0.05</v>
      </c>
      <c r="T6" s="19" t="s">
        <v>28</v>
      </c>
      <c r="U6" s="22"/>
      <c r="W6" s="49">
        <v>0.2</v>
      </c>
      <c r="X6" s="19" t="s">
        <v>33</v>
      </c>
      <c r="Y6" s="22" t="b">
        <v>0</v>
      </c>
      <c r="Z6" s="38"/>
      <c r="AA6" s="19"/>
      <c r="AB6" s="19" t="s">
        <v>39</v>
      </c>
      <c r="AH6" s="58" t="s">
        <v>72</v>
      </c>
    </row>
    <row r="7" spans="1:35" x14ac:dyDescent="0.25">
      <c r="B7" s="9" t="s">
        <v>11</v>
      </c>
      <c r="C7" s="21"/>
      <c r="D7" s="19"/>
      <c r="E7" s="66">
        <v>18000</v>
      </c>
      <c r="F7" s="13"/>
      <c r="G7" s="50">
        <v>30000</v>
      </c>
      <c r="H7" s="9" t="s">
        <v>18</v>
      </c>
      <c r="I7" s="9" t="b">
        <v>0</v>
      </c>
      <c r="J7" s="16"/>
      <c r="K7" s="18"/>
      <c r="L7" s="18"/>
      <c r="M7" s="18"/>
      <c r="N7" s="17"/>
      <c r="O7" s="48">
        <v>-7.4999999999999997E-2</v>
      </c>
      <c r="P7" s="19" t="s">
        <v>35</v>
      </c>
      <c r="Q7" s="19"/>
      <c r="R7" s="17"/>
      <c r="S7" s="49">
        <v>0.15</v>
      </c>
      <c r="T7" s="19" t="s">
        <v>29</v>
      </c>
      <c r="U7" s="22"/>
      <c r="W7" s="49" cm="1">
        <f t="array" ref="W7">INDEX(X12:X21,X10)</f>
        <v>0.09</v>
      </c>
      <c r="X7" s="19" t="s">
        <v>34</v>
      </c>
      <c r="Y7" s="22" t="b">
        <v>0</v>
      </c>
      <c r="Z7" s="38"/>
      <c r="AA7" s="19"/>
      <c r="AB7" s="19" t="s">
        <v>40</v>
      </c>
      <c r="AH7" s="39" t="b">
        <v>0</v>
      </c>
    </row>
    <row r="8" spans="1:35" x14ac:dyDescent="0.25">
      <c r="B8" s="9" t="s">
        <v>4</v>
      </c>
      <c r="C8" s="21"/>
      <c r="D8" s="19"/>
      <c r="E8" s="66">
        <v>25000</v>
      </c>
      <c r="F8" s="14"/>
      <c r="G8" s="71"/>
      <c r="H8" s="5"/>
      <c r="I8" s="5"/>
      <c r="J8" s="17"/>
      <c r="K8" s="18"/>
      <c r="L8" s="18"/>
      <c r="M8" s="18"/>
      <c r="N8" s="17"/>
      <c r="O8" s="47">
        <v>-0.1</v>
      </c>
      <c r="P8" s="19" t="s">
        <v>24</v>
      </c>
      <c r="Q8" s="19"/>
      <c r="R8" s="17"/>
      <c r="AA8" s="19"/>
      <c r="AB8" s="19" t="s">
        <v>41</v>
      </c>
    </row>
    <row r="9" spans="1:35" x14ac:dyDescent="0.25">
      <c r="B9" s="9" t="s">
        <v>5</v>
      </c>
      <c r="C9" s="21"/>
      <c r="D9" s="19"/>
      <c r="E9" s="66">
        <v>17000</v>
      </c>
      <c r="F9" s="14"/>
      <c r="G9" s="71"/>
      <c r="H9" s="5"/>
      <c r="I9" s="5"/>
      <c r="J9" s="17"/>
      <c r="K9" s="18"/>
      <c r="L9" s="18"/>
      <c r="M9" s="18"/>
      <c r="N9" s="17"/>
      <c r="O9" s="18"/>
      <c r="AA9" s="18"/>
    </row>
    <row r="10" spans="1:35" x14ac:dyDescent="0.25">
      <c r="B10" s="9" t="s">
        <v>6</v>
      </c>
      <c r="C10" s="21"/>
      <c r="D10" s="19"/>
      <c r="E10" s="66">
        <v>30000</v>
      </c>
      <c r="F10" s="14"/>
      <c r="G10" s="71"/>
      <c r="H10" s="5"/>
      <c r="I10" s="5"/>
      <c r="J10" s="17"/>
      <c r="K10" s="18"/>
      <c r="L10" s="18"/>
      <c r="M10" s="18"/>
      <c r="N10" s="17"/>
      <c r="O10" s="18"/>
      <c r="P10" s="18"/>
      <c r="Q10" s="18"/>
      <c r="R10" s="17"/>
      <c r="X10" s="7">
        <v>9</v>
      </c>
      <c r="AA10" s="18"/>
    </row>
    <row r="11" spans="1:35" x14ac:dyDescent="0.25">
      <c r="B11" s="9" t="s">
        <v>7</v>
      </c>
      <c r="C11" s="21"/>
      <c r="D11" s="19"/>
      <c r="E11" s="66">
        <v>35000</v>
      </c>
      <c r="F11" s="14"/>
      <c r="G11" s="71"/>
      <c r="H11" s="5"/>
      <c r="I11" s="5"/>
      <c r="J11" s="17"/>
      <c r="K11" s="18"/>
      <c r="L11" s="18"/>
      <c r="M11" s="18"/>
      <c r="N11" s="17"/>
      <c r="O11" s="18"/>
      <c r="P11" s="18"/>
      <c r="Q11" s="18"/>
      <c r="R11" s="17"/>
      <c r="W11" s="33"/>
      <c r="X11" s="34" t="s">
        <v>43</v>
      </c>
      <c r="Y11" s="33"/>
      <c r="Z11" s="16"/>
      <c r="AA11" s="18"/>
    </row>
    <row r="12" spans="1:35" x14ac:dyDescent="0.25">
      <c r="B12" s="9" t="s">
        <v>8</v>
      </c>
      <c r="C12" s="21"/>
      <c r="D12" s="19"/>
      <c r="E12" s="66">
        <v>40000</v>
      </c>
      <c r="F12" s="14"/>
      <c r="G12" s="71"/>
      <c r="H12" s="5"/>
      <c r="I12" s="5"/>
      <c r="J12" s="17"/>
      <c r="K12" s="18"/>
      <c r="L12" s="18"/>
      <c r="M12" s="18"/>
      <c r="N12" s="17"/>
      <c r="O12" s="18"/>
      <c r="P12" s="18"/>
      <c r="Q12" s="18"/>
      <c r="R12" s="17"/>
      <c r="W12" s="19"/>
      <c r="X12" s="32">
        <v>0.01</v>
      </c>
      <c r="Y12" s="19"/>
      <c r="Z12" s="16"/>
      <c r="AA12" s="18"/>
    </row>
    <row r="13" spans="1:35" x14ac:dyDescent="0.25">
      <c r="B13" s="9" t="s">
        <v>9</v>
      </c>
      <c r="C13" s="21"/>
      <c r="D13" s="19"/>
      <c r="E13" s="66">
        <v>22000</v>
      </c>
      <c r="F13" s="14"/>
      <c r="G13" s="71"/>
      <c r="H13" s="5"/>
      <c r="I13" s="5"/>
      <c r="J13" s="17"/>
      <c r="K13" s="18"/>
      <c r="L13" s="18"/>
      <c r="M13" s="18"/>
      <c r="N13" s="17"/>
      <c r="O13" s="18"/>
      <c r="P13" s="18"/>
      <c r="Q13" s="18"/>
      <c r="R13" s="17"/>
      <c r="W13" s="19"/>
      <c r="X13" s="32">
        <v>0.02</v>
      </c>
      <c r="Y13" s="19"/>
      <c r="Z13" s="16"/>
      <c r="AA13" s="18"/>
    </row>
    <row r="14" spans="1:35" x14ac:dyDescent="0.25">
      <c r="B14" s="9" t="s">
        <v>12</v>
      </c>
      <c r="C14" s="21"/>
      <c r="D14" s="19"/>
      <c r="E14" s="66">
        <v>23000</v>
      </c>
      <c r="F14" s="14"/>
      <c r="G14" s="71"/>
      <c r="H14" s="5"/>
      <c r="I14" s="5"/>
      <c r="J14" s="17"/>
      <c r="K14" s="18"/>
      <c r="L14" s="18"/>
      <c r="M14" s="18"/>
      <c r="N14" s="17"/>
      <c r="O14" s="18"/>
      <c r="P14" s="18"/>
      <c r="Q14" s="18"/>
      <c r="R14" s="17"/>
      <c r="W14" s="19"/>
      <c r="X14" s="32">
        <v>0.03</v>
      </c>
      <c r="Y14" s="19"/>
      <c r="Z14" s="16"/>
      <c r="AA14" s="18"/>
    </row>
    <row r="15" spans="1:35" x14ac:dyDescent="0.25">
      <c r="W15" s="19"/>
      <c r="X15" s="32">
        <v>0.04</v>
      </c>
      <c r="Y15" s="19"/>
      <c r="Z15" s="16"/>
    </row>
    <row r="16" spans="1:35" x14ac:dyDescent="0.25">
      <c r="W16" s="19"/>
      <c r="X16" s="32">
        <v>0.05</v>
      </c>
      <c r="Y16" s="19"/>
      <c r="Z16" s="16"/>
    </row>
    <row r="17" spans="2:26" x14ac:dyDescent="0.25">
      <c r="W17" s="19"/>
      <c r="X17" s="32">
        <v>0.06</v>
      </c>
      <c r="Y17" s="19"/>
      <c r="Z17" s="16"/>
    </row>
    <row r="18" spans="2:26" x14ac:dyDescent="0.25">
      <c r="W18" s="19"/>
      <c r="X18" s="32">
        <v>7.0000000000000007E-2</v>
      </c>
      <c r="Y18" s="19"/>
      <c r="Z18" s="16"/>
    </row>
    <row r="19" spans="2:26" x14ac:dyDescent="0.25">
      <c r="W19" s="19"/>
      <c r="X19" s="32">
        <v>0.08</v>
      </c>
      <c r="Y19" s="19"/>
      <c r="Z19" s="16"/>
    </row>
    <row r="20" spans="2:26" x14ac:dyDescent="0.25">
      <c r="W20" s="19"/>
      <c r="X20" s="32">
        <v>0.09</v>
      </c>
      <c r="Y20" s="19"/>
      <c r="Z20" s="16"/>
    </row>
    <row r="21" spans="2:26" x14ac:dyDescent="0.25">
      <c r="B21" s="43"/>
      <c r="W21" s="19"/>
      <c r="X21" s="32">
        <v>0.1</v>
      </c>
      <c r="Y21" s="19"/>
      <c r="Z21" s="16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588FF-853C-419A-A21A-2A5DA9B0A778}">
  <sheetPr codeName="Hoja3">
    <tabColor rgb="FF0070C0"/>
    <pageSetUpPr fitToPage="1"/>
  </sheetPr>
  <dimension ref="A1:C17"/>
  <sheetViews>
    <sheetView showGridLines="0" showRowColHeaders="0" workbookViewId="0">
      <selection activeCell="A4" sqref="A4"/>
    </sheetView>
  </sheetViews>
  <sheetFormatPr baseColWidth="10" defaultRowHeight="15" x14ac:dyDescent="0.25"/>
  <cols>
    <col min="1" max="1" width="42.7109375" style="52" bestFit="1" customWidth="1"/>
    <col min="2" max="2" width="15.5703125" style="52" customWidth="1"/>
    <col min="3" max="3" width="36" style="52" bestFit="1" customWidth="1"/>
    <col min="4" max="16384" width="11.42578125" style="52"/>
  </cols>
  <sheetData>
    <row r="1" spans="1:3" ht="177" customHeight="1" x14ac:dyDescent="0.25">
      <c r="A1" s="124" t="s">
        <v>44</v>
      </c>
      <c r="B1" s="125"/>
      <c r="C1" s="126"/>
    </row>
    <row r="2" spans="1:3" ht="18.75" x14ac:dyDescent="0.25">
      <c r="A2" s="108"/>
      <c r="B2" s="109"/>
      <c r="C2" s="110"/>
    </row>
    <row r="3" spans="1:3" ht="18.75" customHeight="1" x14ac:dyDescent="0.25">
      <c r="A3" s="108"/>
      <c r="B3" s="109"/>
      <c r="C3" s="110"/>
    </row>
    <row r="4" spans="1:3" ht="18" customHeight="1" x14ac:dyDescent="0.25">
      <c r="A4" s="108" t="str">
        <f>_xlfn.CONCAT("Estimado/a ",MID(Presupuestador!D10,1,100)," ", MID(Presupuestador!D8,1,100), ",")</f>
        <v>Estimado/a  ,</v>
      </c>
      <c r="B4" s="111" t="s">
        <v>69</v>
      </c>
      <c r="C4" s="112"/>
    </row>
    <row r="5" spans="1:3" ht="18.75" customHeight="1" x14ac:dyDescent="0.25">
      <c r="A5" s="108"/>
      <c r="B5" s="109"/>
      <c r="C5" s="110"/>
    </row>
    <row r="6" spans="1:3" ht="18" customHeight="1" x14ac:dyDescent="0.25">
      <c r="A6" s="113">
        <f ca="1">Presupuestador!I9</f>
        <v>44121</v>
      </c>
      <c r="B6" s="114" t="str">
        <f xml:space="preserve"> _xlfn.CONCAT("referido al vehículo ",INDEX(tipo_vehiculo,Auxiliar!B2), ".")</f>
        <v>referido al vehículo Sedan.</v>
      </c>
      <c r="C6" s="115"/>
    </row>
    <row r="7" spans="1:3" ht="18.75" x14ac:dyDescent="0.25">
      <c r="A7" s="108"/>
      <c r="B7" s="109"/>
      <c r="C7" s="110"/>
    </row>
    <row r="8" spans="1:3" ht="15.75" customHeight="1" x14ac:dyDescent="0.25">
      <c r="A8" s="108"/>
      <c r="B8" s="109"/>
      <c r="C8" s="110"/>
    </row>
    <row r="9" spans="1:3" ht="18.75" x14ac:dyDescent="0.25">
      <c r="A9" s="108" t="s">
        <v>63</v>
      </c>
      <c r="B9" s="111" cm="1">
        <f t="array" ref="B9">INDEX(año_de_fabricacion,Auxiliar!L2)</f>
        <v>2018</v>
      </c>
      <c r="C9" s="112"/>
    </row>
    <row r="10" spans="1:3" ht="15.75" customHeight="1" x14ac:dyDescent="0.25">
      <c r="A10" s="108" t="s">
        <v>66</v>
      </c>
      <c r="B10" s="116">
        <f>Presupuestador!$E$30</f>
        <v>17789.625</v>
      </c>
      <c r="C10" s="110" t="s">
        <v>67</v>
      </c>
    </row>
    <row r="11" spans="1:3" ht="18.75" x14ac:dyDescent="0.25">
      <c r="A11" s="117" t="s">
        <v>50</v>
      </c>
      <c r="B11" s="118">
        <f ca="1">Presupuestador!I9+7</f>
        <v>44128</v>
      </c>
      <c r="C11" s="119"/>
    </row>
    <row r="12" spans="1:3" ht="18.75" x14ac:dyDescent="0.25">
      <c r="A12" s="108"/>
      <c r="B12" s="109"/>
      <c r="C12" s="110"/>
    </row>
    <row r="13" spans="1:3" ht="18.75" x14ac:dyDescent="0.25">
      <c r="A13" s="108"/>
      <c r="B13" s="109"/>
      <c r="C13" s="110"/>
    </row>
    <row r="14" spans="1:3" ht="18.75" x14ac:dyDescent="0.25">
      <c r="A14" s="120" t="str">
        <f>_xlfn.CONCAT("Atentamente, ",INDEX(vendedores,Auxiliar!AA2),".")</f>
        <v>Atentamente, Alejandra Esteban.</v>
      </c>
      <c r="B14" s="111"/>
      <c r="C14" s="112"/>
    </row>
    <row r="15" spans="1:3" ht="18.75" x14ac:dyDescent="0.25">
      <c r="A15" s="108"/>
      <c r="B15" s="109"/>
      <c r="C15" s="110"/>
    </row>
    <row r="16" spans="1:3" ht="18.75" x14ac:dyDescent="0.25">
      <c r="A16" s="121"/>
      <c r="B16" s="122"/>
      <c r="C16" s="123"/>
    </row>
    <row r="17" spans="1:2" ht="15.75" x14ac:dyDescent="0.25">
      <c r="A17" s="53"/>
      <c r="B17" s="53"/>
    </row>
  </sheetData>
  <mergeCells count="6">
    <mergeCell ref="B4:C4"/>
    <mergeCell ref="B11:C11"/>
    <mergeCell ref="A14:C14"/>
    <mergeCell ref="B6:C6"/>
    <mergeCell ref="B9:C9"/>
    <mergeCell ref="A1:B1"/>
  </mergeCells>
  <pageMargins left="0.25" right="0.25" top="0.75" bottom="0.75" header="0.3" footer="0.3"/>
  <pageSetup paperSize="9" orientation="portrait" cellComments="atEnd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2DCAB-51A2-421F-BF10-B1293EE580B9}">
  <sheetPr codeName="Hoja4">
    <tabColor rgb="FF7030A0"/>
  </sheetPr>
  <dimension ref="A1:N5"/>
  <sheetViews>
    <sheetView showGridLines="0" showRowColHeaders="0" workbookViewId="0">
      <selection sqref="A1:N1"/>
    </sheetView>
  </sheetViews>
  <sheetFormatPr baseColWidth="10" defaultRowHeight="15" x14ac:dyDescent="0.25"/>
  <cols>
    <col min="1" max="1" width="2.85546875" bestFit="1" customWidth="1"/>
    <col min="2" max="2" width="13.28515625" style="51" customWidth="1"/>
    <col min="3" max="3" width="10.85546875" bestFit="1" customWidth="1"/>
    <col min="4" max="4" width="17" bestFit="1" customWidth="1"/>
    <col min="5" max="5" width="16.42578125" bestFit="1" customWidth="1"/>
    <col min="6" max="6" width="28.85546875" style="64" bestFit="1" customWidth="1"/>
    <col min="7" max="7" width="16.5703125" style="51" bestFit="1" customWidth="1"/>
  </cols>
  <sheetData>
    <row r="1" spans="1:14" ht="44.25" x14ac:dyDescent="0.25">
      <c r="A1" s="133" t="s">
        <v>45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5"/>
    </row>
    <row r="3" spans="1:14" x14ac:dyDescent="0.25">
      <c r="A3" s="127" t="s">
        <v>51</v>
      </c>
      <c r="B3" s="127" t="s">
        <v>46</v>
      </c>
      <c r="C3" s="127" t="s">
        <v>47</v>
      </c>
      <c r="D3" s="127" t="s">
        <v>48</v>
      </c>
      <c r="E3" s="127" t="s">
        <v>49</v>
      </c>
      <c r="F3" s="128" t="s">
        <v>70</v>
      </c>
      <c r="G3" s="129" t="s">
        <v>71</v>
      </c>
    </row>
    <row r="4" spans="1:14" x14ac:dyDescent="0.25">
      <c r="A4" s="130"/>
      <c r="B4" s="131"/>
      <c r="C4" s="130"/>
      <c r="D4" s="130"/>
      <c r="E4" s="130"/>
      <c r="F4" s="132"/>
      <c r="G4" s="131"/>
    </row>
    <row r="5" spans="1:14" x14ac:dyDescent="0.25">
      <c r="A5" s="130"/>
      <c r="B5" s="131"/>
      <c r="C5" s="130"/>
      <c r="D5" s="131"/>
      <c r="E5" s="130"/>
      <c r="F5" s="132"/>
    </row>
  </sheetData>
  <mergeCells count="1">
    <mergeCell ref="A1:N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10" baseType="lpstr">
      <vt:lpstr>Presupuestador</vt:lpstr>
      <vt:lpstr>Auxiliar</vt:lpstr>
      <vt:lpstr>Presupuesto</vt:lpstr>
      <vt:lpstr>Historial de Presupuestos</vt:lpstr>
      <vt:lpstr>accesorios</vt:lpstr>
      <vt:lpstr>año_de_fabricacion</vt:lpstr>
      <vt:lpstr>combustible</vt:lpstr>
      <vt:lpstr>precio_base</vt:lpstr>
      <vt:lpstr>tipo_vehiculo</vt:lpstr>
      <vt:lpstr>vendedores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Schualle</dc:creator>
  <cp:lastModifiedBy>Joaquin Rojas</cp:lastModifiedBy>
  <cp:lastPrinted>2020-10-09T15:26:08Z</cp:lastPrinted>
  <dcterms:created xsi:type="dcterms:W3CDTF">2020-09-28T14:54:20Z</dcterms:created>
  <dcterms:modified xsi:type="dcterms:W3CDTF">2020-10-09T15:27:30Z</dcterms:modified>
</cp:coreProperties>
</file>